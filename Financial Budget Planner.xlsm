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Kirti\Documents\"/>
    </mc:Choice>
  </mc:AlternateContent>
  <xr:revisionPtr revIDLastSave="0" documentId="13_ncr:1_{65867666-62D1-4276-AAA5-8B5076A7568D}" xr6:coauthVersionLast="47" xr6:coauthVersionMax="47" xr10:uidLastSave="{00000000-0000-0000-0000-000000000000}"/>
  <bookViews>
    <workbookView xWindow="-110" yWindow="-110" windowWidth="19420" windowHeight="10300" activeTab="3" xr2:uid="{2385E607-7E2A-44C6-8597-8B18C7934139}"/>
  </bookViews>
  <sheets>
    <sheet name="Financial_Data" sheetId="17" r:id="rId1"/>
    <sheet name="Budget_master" sheetId="18" r:id="rId2"/>
    <sheet name="Pivot_Table" sheetId="19" r:id="rId3"/>
    <sheet name="FB_Dashboard" sheetId="3" r:id="rId4"/>
  </sheets>
  <definedNames>
    <definedName name="Finance_Data">Table2[#All]</definedName>
    <definedName name="Slicer_Category">#N/A</definedName>
    <definedName name="Slicer_Month">#N/A</definedName>
    <definedName name="Slicer_Payment_Method">#N/A</definedName>
    <definedName name="Slicer_Year">#N/A</definedName>
    <definedName name="tbl_budget">Table3[#All]</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3" i="3" l="1"/>
  <c r="O24" i="3"/>
  <c r="P24" i="3" s="1"/>
  <c r="O25" i="3"/>
  <c r="O26" i="3"/>
  <c r="O27" i="3"/>
  <c r="O28" i="3"/>
  <c r="P28" i="3" s="1"/>
  <c r="O29" i="3"/>
  <c r="O30" i="3"/>
  <c r="P30" i="3" s="1"/>
  <c r="O31" i="3"/>
  <c r="P31" i="3" s="1"/>
  <c r="O32" i="3"/>
  <c r="P32" i="3" s="1"/>
  <c r="O33" i="3"/>
  <c r="O34" i="3"/>
  <c r="C2" i="18"/>
  <c r="P23" i="3"/>
  <c r="P25" i="3"/>
  <c r="P26" i="3"/>
  <c r="P27" i="3"/>
  <c r="P29" i="3"/>
  <c r="P33" i="3"/>
  <c r="P34" i="3"/>
  <c r="S7" i="3"/>
  <c r="S9" i="3" s="1"/>
  <c r="S8" i="3"/>
  <c r="B6" i="3" l="1"/>
  <c r="C4" i="18"/>
  <c r="D4" i="18" s="1"/>
  <c r="D2" i="18"/>
  <c r="C3" i="18"/>
  <c r="D3" i="18" s="1"/>
  <c r="C5" i="18"/>
  <c r="D5" i="18" s="1"/>
  <c r="C6" i="18"/>
  <c r="D6" i="18" s="1"/>
  <c r="C7" i="18"/>
  <c r="D7" i="18" s="1"/>
  <c r="C8" i="18"/>
  <c r="D8" i="18" s="1"/>
  <c r="C9" i="18"/>
  <c r="D9" i="18" s="1"/>
  <c r="C10" i="18"/>
  <c r="D10" i="18" s="1"/>
  <c r="C11" i="18"/>
  <c r="D11" i="18" s="1"/>
  <c r="C12" i="18"/>
  <c r="D12" i="18" s="1"/>
  <c r="C13" i="18"/>
  <c r="D13" i="18" s="1"/>
  <c r="F6" i="3" l="1"/>
  <c r="J2" i="17"/>
  <c r="J3" i="17"/>
  <c r="J4" i="17"/>
  <c r="J5" i="17"/>
  <c r="J6" i="17"/>
  <c r="J7" i="17"/>
  <c r="J8" i="17"/>
  <c r="J9" i="17"/>
  <c r="J10" i="17"/>
  <c r="S10" i="3" s="1"/>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I2" i="17"/>
  <c r="I3" i="17"/>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I230" i="17"/>
  <c r="I231" i="17"/>
  <c r="I232" i="17"/>
  <c r="I233" i="17"/>
  <c r="I234" i="17"/>
  <c r="I235" i="17"/>
  <c r="I236" i="17"/>
  <c r="I237" i="17"/>
  <c r="I238" i="17"/>
  <c r="I239" i="17"/>
  <c r="I240" i="17"/>
  <c r="I241" i="17"/>
  <c r="I242" i="17"/>
  <c r="I243" i="17"/>
  <c r="I244" i="17"/>
  <c r="I245" i="17"/>
  <c r="I246" i="17"/>
  <c r="I247" i="17"/>
  <c r="I248" i="17"/>
  <c r="I249" i="17"/>
  <c r="I250" i="17"/>
  <c r="I251" i="17"/>
  <c r="I252" i="17"/>
  <c r="I253" i="17"/>
  <c r="I254" i="17"/>
  <c r="I255" i="17"/>
  <c r="I256" i="17"/>
  <c r="I257" i="17"/>
  <c r="I258" i="17"/>
  <c r="I259" i="17"/>
  <c r="I260" i="17"/>
  <c r="I261" i="17"/>
  <c r="I262" i="17"/>
  <c r="I263" i="17"/>
  <c r="I264" i="17"/>
  <c r="I265" i="17"/>
  <c r="I266" i="17"/>
  <c r="I267" i="17"/>
  <c r="I268" i="17"/>
  <c r="I269" i="17"/>
  <c r="I270" i="17"/>
  <c r="I271" i="17"/>
  <c r="I272" i="17"/>
  <c r="I273" i="17"/>
  <c r="I274" i="17"/>
  <c r="I275" i="17"/>
  <c r="I276" i="17"/>
  <c r="I277" i="17"/>
  <c r="I278" i="17"/>
  <c r="I279" i="17"/>
  <c r="I280" i="17"/>
  <c r="I281" i="17"/>
  <c r="I282" i="17"/>
  <c r="I283" i="17"/>
  <c r="I284" i="17"/>
  <c r="I285" i="17"/>
  <c r="I286" i="17"/>
  <c r="I287" i="17"/>
  <c r="I288" i="17"/>
  <c r="I289" i="17"/>
  <c r="I290" i="17"/>
  <c r="I291" i="17"/>
  <c r="I292" i="17"/>
  <c r="I293" i="17"/>
  <c r="I294" i="17"/>
  <c r="I295" i="17"/>
  <c r="I296" i="17"/>
  <c r="I297" i="17"/>
  <c r="I298" i="17"/>
  <c r="I299" i="17"/>
  <c r="I300" i="17"/>
  <c r="I301" i="17"/>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G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N6" i="3" l="1"/>
  <c r="J6" i="3"/>
</calcChain>
</file>

<file path=xl/sharedStrings.xml><?xml version="1.0" encoding="utf-8"?>
<sst xmlns="http://schemas.openxmlformats.org/spreadsheetml/2006/main" count="1308" uniqueCount="337">
  <si>
    <t>Date</t>
  </si>
  <si>
    <t>Category</t>
  </si>
  <si>
    <t>Income</t>
  </si>
  <si>
    <t>Expense</t>
  </si>
  <si>
    <t>Payment Method</t>
  </si>
  <si>
    <t>Description</t>
  </si>
  <si>
    <t>Balance</t>
  </si>
  <si>
    <t>Bonus</t>
  </si>
  <si>
    <t>Salary</t>
  </si>
  <si>
    <t>Cash</t>
  </si>
  <si>
    <t>Utilities</t>
  </si>
  <si>
    <t>Rent</t>
  </si>
  <si>
    <t>UPI</t>
  </si>
  <si>
    <t>Freelance</t>
  </si>
  <si>
    <t>Entertainment</t>
  </si>
  <si>
    <t>Row Labels</t>
  </si>
  <si>
    <t>Grand Total</t>
  </si>
  <si>
    <t>Sum of Expense</t>
  </si>
  <si>
    <t>Budget</t>
  </si>
  <si>
    <t>Month</t>
  </si>
  <si>
    <t>Shopping</t>
  </si>
  <si>
    <t>Sum of Budget</t>
  </si>
  <si>
    <t>Transport</t>
  </si>
  <si>
    <t>04-01-2025</t>
  </si>
  <si>
    <t>05-01-2025</t>
  </si>
  <si>
    <t>06-01-2025</t>
  </si>
  <si>
    <t>09-01-2025</t>
  </si>
  <si>
    <t>11-01-2025</t>
  </si>
  <si>
    <t>13-01-2025</t>
  </si>
  <si>
    <t>21-01-2025</t>
  </si>
  <si>
    <t>22-01-2025</t>
  </si>
  <si>
    <t>09-02-2025</t>
  </si>
  <si>
    <t>21-02-2025</t>
  </si>
  <si>
    <t>23-02-2025</t>
  </si>
  <si>
    <t>27-02-2025</t>
  </si>
  <si>
    <t>04-03-2025</t>
  </si>
  <si>
    <t>05-03-2025</t>
  </si>
  <si>
    <t>11-03-2025</t>
  </si>
  <si>
    <t>16-03-2025</t>
  </si>
  <si>
    <t>20-03-2025</t>
  </si>
  <si>
    <t>23-03-2025</t>
  </si>
  <si>
    <t>30-03-2025</t>
  </si>
  <si>
    <t>08-04-2025</t>
  </si>
  <si>
    <t>12-04-2025</t>
  </si>
  <si>
    <t>13-04-2025</t>
  </si>
  <si>
    <t>17-04-2025</t>
  </si>
  <si>
    <t>18-04-2025</t>
  </si>
  <si>
    <t>21-04-2025</t>
  </si>
  <si>
    <t>25-04-2025</t>
  </si>
  <si>
    <t>27-04-2025</t>
  </si>
  <si>
    <t>28-04-2025</t>
  </si>
  <si>
    <t>10-05-2025</t>
  </si>
  <si>
    <t>16-05-2025</t>
  </si>
  <si>
    <t>18-05-2025</t>
  </si>
  <si>
    <t>19-05-2025</t>
  </si>
  <si>
    <t>21-05-2025</t>
  </si>
  <si>
    <t>23-05-2025</t>
  </si>
  <si>
    <t>25-05-2025</t>
  </si>
  <si>
    <t>27-05-2025</t>
  </si>
  <si>
    <t>01-06-2025</t>
  </si>
  <si>
    <t>10-06-2025</t>
  </si>
  <si>
    <t>11-06-2025</t>
  </si>
  <si>
    <t>14-06-2025</t>
  </si>
  <si>
    <t>29-06-2025</t>
  </si>
  <si>
    <t>02-07-2025</t>
  </si>
  <si>
    <t>11-07-2025</t>
  </si>
  <si>
    <t>18-07-2025</t>
  </si>
  <si>
    <t>21-07-2025</t>
  </si>
  <si>
    <t>27-07-2025</t>
  </si>
  <si>
    <t>29-07-2025</t>
  </si>
  <si>
    <t>30-07-2025</t>
  </si>
  <si>
    <t>08-08-2025</t>
  </si>
  <si>
    <t>10-08-2025</t>
  </si>
  <si>
    <t>11-08-2025</t>
  </si>
  <si>
    <t>12-08-2025</t>
  </si>
  <si>
    <t>16-08-2025</t>
  </si>
  <si>
    <t>20-08-2025</t>
  </si>
  <si>
    <t>21-08-2025</t>
  </si>
  <si>
    <t>01-09-2025</t>
  </si>
  <si>
    <t>06-09-2025</t>
  </si>
  <si>
    <t>Dining</t>
  </si>
  <si>
    <t>Debit Card</t>
  </si>
  <si>
    <t>Dining payment</t>
  </si>
  <si>
    <t>Medical</t>
  </si>
  <si>
    <t>Medical payment</t>
  </si>
  <si>
    <t>Interest</t>
  </si>
  <si>
    <t>Interest received</t>
  </si>
  <si>
    <t>Salary received</t>
  </si>
  <si>
    <t>Freelance received</t>
  </si>
  <si>
    <t>Bank Transfer</t>
  </si>
  <si>
    <t>Entertainment payment</t>
  </si>
  <si>
    <t>Groceries</t>
  </si>
  <si>
    <t>Groceries payment</t>
  </si>
  <si>
    <t>Rent payment</t>
  </si>
  <si>
    <t>Utilities payment</t>
  </si>
  <si>
    <t>Credit Card</t>
  </si>
  <si>
    <t>Shopping payment</t>
  </si>
  <si>
    <t>Bonus received</t>
  </si>
  <si>
    <t>Transport payment</t>
  </si>
  <si>
    <t>Year</t>
  </si>
  <si>
    <t>27-03-2023</t>
  </si>
  <si>
    <t>29-05-2024</t>
  </si>
  <si>
    <t>25-08-2024</t>
  </si>
  <si>
    <t>12-04-2023</t>
  </si>
  <si>
    <t>28-10-2024</t>
  </si>
  <si>
    <t>21-03-2023</t>
  </si>
  <si>
    <t>12-12-2023</t>
  </si>
  <si>
    <t>10-10-2026</t>
  </si>
  <si>
    <t>25-09-2023</t>
  </si>
  <si>
    <t>07-05-2024</t>
  </si>
  <si>
    <t>23-09-2024</t>
  </si>
  <si>
    <t>28-09-2026</t>
  </si>
  <si>
    <t>08-04-2024</t>
  </si>
  <si>
    <t>07-10-2026</t>
  </si>
  <si>
    <t>07-07-2024</t>
  </si>
  <si>
    <t>17-07-2023</t>
  </si>
  <si>
    <t>08-12-2025</t>
  </si>
  <si>
    <t>16-11-2025</t>
  </si>
  <si>
    <t>12-07-2024</t>
  </si>
  <si>
    <t>20-11-2023</t>
  </si>
  <si>
    <t>06-01-2023</t>
  </si>
  <si>
    <t>04-11-2023</t>
  </si>
  <si>
    <t>01-02-2026</t>
  </si>
  <si>
    <t>04-03-2024</t>
  </si>
  <si>
    <t>19-09-2026</t>
  </si>
  <si>
    <t>08-06-2023</t>
  </si>
  <si>
    <t>06-07-2023</t>
  </si>
  <si>
    <t>05-02-2026</t>
  </si>
  <si>
    <t>15-05-2026</t>
  </si>
  <si>
    <t>25-11-2025</t>
  </si>
  <si>
    <t>16-12-2025</t>
  </si>
  <si>
    <t>09-11-2024</t>
  </si>
  <si>
    <t>18-02-2024</t>
  </si>
  <si>
    <t>23-08-2023</t>
  </si>
  <si>
    <t>07-08-2024</t>
  </si>
  <si>
    <t>05-06-2026</t>
  </si>
  <si>
    <t>04-08-2024</t>
  </si>
  <si>
    <t>05-02-2023</t>
  </si>
  <si>
    <t>24-09-2025</t>
  </si>
  <si>
    <t>23-11-2026</t>
  </si>
  <si>
    <t>04-04-2023</t>
  </si>
  <si>
    <t>22-11-2026</t>
  </si>
  <si>
    <t>17-04-2024</t>
  </si>
  <si>
    <t>31-01-2026</t>
  </si>
  <si>
    <t>22-04-2024</t>
  </si>
  <si>
    <t>11-08-2026</t>
  </si>
  <si>
    <t>19-07-2026</t>
  </si>
  <si>
    <t>31-03-2026</t>
  </si>
  <si>
    <t>30-03-2026</t>
  </si>
  <si>
    <t>05-11-2026</t>
  </si>
  <si>
    <t>14-12-2023</t>
  </si>
  <si>
    <t>07-04-2023</t>
  </si>
  <si>
    <t>04-11-2024</t>
  </si>
  <si>
    <t>19-05-2023</t>
  </si>
  <si>
    <t>12-02-2024</t>
  </si>
  <si>
    <t>13-05-2024</t>
  </si>
  <si>
    <t>05-08-2026</t>
  </si>
  <si>
    <t>26-03-2023</t>
  </si>
  <si>
    <t>07-02-2026</t>
  </si>
  <si>
    <t>29-05-2026</t>
  </si>
  <si>
    <t>14-06-2024</t>
  </si>
  <si>
    <t>03-09-2026</t>
  </si>
  <si>
    <t>02-03-2024</t>
  </si>
  <si>
    <t>17-01-2026</t>
  </si>
  <si>
    <t>10-11-2023</t>
  </si>
  <si>
    <t>29-01-2023</t>
  </si>
  <si>
    <t>14-01-2024</t>
  </si>
  <si>
    <t>15-12-2024</t>
  </si>
  <si>
    <t>05-01-2024</t>
  </si>
  <si>
    <t>10-09-2024</t>
  </si>
  <si>
    <t>08-12-2023</t>
  </si>
  <si>
    <t>25-06-2023</t>
  </si>
  <si>
    <t>20-06-2026</t>
  </si>
  <si>
    <t>30-11-2024</t>
  </si>
  <si>
    <t>20-11-2024</t>
  </si>
  <si>
    <t>04-12-2025</t>
  </si>
  <si>
    <t>07-08-2023</t>
  </si>
  <si>
    <t>09-10-2026</t>
  </si>
  <si>
    <t>23-10-2025</t>
  </si>
  <si>
    <t>19-03-2026</t>
  </si>
  <si>
    <t>10-12-2023</t>
  </si>
  <si>
    <t>12-01-2023</t>
  </si>
  <si>
    <t>13-03-2026</t>
  </si>
  <si>
    <t>10-11-2026</t>
  </si>
  <si>
    <t>10-07-2023</t>
  </si>
  <si>
    <t>16-11-2024</t>
  </si>
  <si>
    <t>20-10-2024</t>
  </si>
  <si>
    <t>05-04-2026</t>
  </si>
  <si>
    <t>17-04-2026</t>
  </si>
  <si>
    <t>31-10-2025</t>
  </si>
  <si>
    <t>23-09-2023</t>
  </si>
  <si>
    <t>02-06-2024</t>
  </si>
  <si>
    <t>25-02-2024</t>
  </si>
  <si>
    <t>15-09-2026</t>
  </si>
  <si>
    <t>07-02-2024</t>
  </si>
  <si>
    <t>08-03-2024</t>
  </si>
  <si>
    <t>21-04-2024</t>
  </si>
  <si>
    <t>15-12-2026</t>
  </si>
  <si>
    <t>10-02-2023</t>
  </si>
  <si>
    <t>12-03-2024</t>
  </si>
  <si>
    <t>31-03-2024</t>
  </si>
  <si>
    <t>26-09-2023</t>
  </si>
  <si>
    <t>07-12-2026</t>
  </si>
  <si>
    <t>15-06-2024</t>
  </si>
  <si>
    <t>18-07-2024</t>
  </si>
  <si>
    <t>13-09-2025</t>
  </si>
  <si>
    <t>02-08-2024</t>
  </si>
  <si>
    <t>19-10-2024</t>
  </si>
  <si>
    <t>03-04-2024</t>
  </si>
  <si>
    <t>28-06-2023</t>
  </si>
  <si>
    <t>06-06-2026</t>
  </si>
  <si>
    <t>12-05-2023</t>
  </si>
  <si>
    <t>19-02-2026</t>
  </si>
  <si>
    <t>03-09-2024</t>
  </si>
  <si>
    <t>25-12-2025</t>
  </si>
  <si>
    <t>26-11-2026</t>
  </si>
  <si>
    <t>03-10-2025</t>
  </si>
  <si>
    <t>10-06-2024</t>
  </si>
  <si>
    <t>09-08-2023</t>
  </si>
  <si>
    <t>27-10-2024</t>
  </si>
  <si>
    <t>17-10-2023</t>
  </si>
  <si>
    <t>30-07-2023</t>
  </si>
  <si>
    <t>27-03-2024</t>
  </si>
  <si>
    <t>06-05-2024</t>
  </si>
  <si>
    <t>17-12-2025</t>
  </si>
  <si>
    <t>12-08-2024</t>
  </si>
  <si>
    <t>16-09-2024</t>
  </si>
  <si>
    <t>01-06-2023</t>
  </si>
  <si>
    <t>06-10-2023</t>
  </si>
  <si>
    <t>20-09-2025</t>
  </si>
  <si>
    <t>17-10-2024</t>
  </si>
  <si>
    <t>28-12-2026</t>
  </si>
  <si>
    <t>31-08-2024</t>
  </si>
  <si>
    <t>10-02-2024</t>
  </si>
  <si>
    <t>06-01-2026</t>
  </si>
  <si>
    <t>13-01-2026</t>
  </si>
  <si>
    <t>27-04-2026</t>
  </si>
  <si>
    <t>14-05-2023</t>
  </si>
  <si>
    <t>27-10-2023</t>
  </si>
  <si>
    <t>16-03-2024</t>
  </si>
  <si>
    <t>19-01-2026</t>
  </si>
  <si>
    <t>25-04-2023</t>
  </si>
  <si>
    <t>27-01-2026</t>
  </si>
  <si>
    <t>21-03-2026</t>
  </si>
  <si>
    <t>02-05-2026</t>
  </si>
  <si>
    <t>16-10-2026</t>
  </si>
  <si>
    <t>16-04-2026</t>
  </si>
  <si>
    <t>14-05-2026</t>
  </si>
  <si>
    <t>16-04-2023</t>
  </si>
  <si>
    <t>26-06-2026</t>
  </si>
  <si>
    <t>05-04-2023</t>
  </si>
  <si>
    <t>24-01-2024</t>
  </si>
  <si>
    <t>22-03-2023</t>
  </si>
  <si>
    <t>09-10-2023</t>
  </si>
  <si>
    <t>11-02-2026</t>
  </si>
  <si>
    <t>18-12-2023</t>
  </si>
  <si>
    <t>08-07-2026</t>
  </si>
  <si>
    <t>03-10-2026</t>
  </si>
  <si>
    <t>23-08-2024</t>
  </si>
  <si>
    <t>05-12-2026</t>
  </si>
  <si>
    <t>29-09-2024</t>
  </si>
  <si>
    <t>24-12-2025</t>
  </si>
  <si>
    <t>28-05-2026</t>
  </si>
  <si>
    <t>26-02-2023</t>
  </si>
  <si>
    <t>13-09-2026</t>
  </si>
  <si>
    <t>09-02-2024</t>
  </si>
  <si>
    <t>02-01-2024</t>
  </si>
  <si>
    <t>07-08-2026</t>
  </si>
  <si>
    <t>06-09-2026</t>
  </si>
  <si>
    <t>04-02-2023</t>
  </si>
  <si>
    <t>18-08-2023</t>
  </si>
  <si>
    <t>05-12-2025</t>
  </si>
  <si>
    <t>11-04-2024</t>
  </si>
  <si>
    <t>22-11-2023</t>
  </si>
  <si>
    <t>18-06-2023</t>
  </si>
  <si>
    <t>14-08-2026</t>
  </si>
  <si>
    <t>04-07-2023</t>
  </si>
  <si>
    <t>05-12-2024</t>
  </si>
  <si>
    <t>21-09-2025</t>
  </si>
  <si>
    <t>15-08-2026</t>
  </si>
  <si>
    <t>07-06-2026</t>
  </si>
  <si>
    <t>17-11-2025</t>
  </si>
  <si>
    <t>08-06-2024</t>
  </si>
  <si>
    <t>24-04-2023</t>
  </si>
  <si>
    <t>19-03-2024</t>
  </si>
  <si>
    <t>28-12-2025</t>
  </si>
  <si>
    <t>14-10-2025</t>
  </si>
  <si>
    <t>21-07-2024</t>
  </si>
  <si>
    <t>23-10-2026</t>
  </si>
  <si>
    <t>13-10-2024</t>
  </si>
  <si>
    <t>14-11-2024</t>
  </si>
  <si>
    <t>21-10-2024</t>
  </si>
  <si>
    <t>26-07-2024</t>
  </si>
  <si>
    <t>17-07-2026</t>
  </si>
  <si>
    <t>05-02-2024</t>
  </si>
  <si>
    <t>03-05-2024</t>
  </si>
  <si>
    <t>03-12-2023</t>
  </si>
  <si>
    <t>15-02-2026</t>
  </si>
  <si>
    <t>20-10-2026</t>
  </si>
  <si>
    <t>09-01-2026</t>
  </si>
  <si>
    <t>16-01-2026</t>
  </si>
  <si>
    <t>27-08-2026</t>
  </si>
  <si>
    <t>21-06-2026</t>
  </si>
  <si>
    <t>12-03-2026</t>
  </si>
  <si>
    <t>28-04-2023</t>
  </si>
  <si>
    <t>23-07-2023</t>
  </si>
  <si>
    <t>11-03-2026</t>
  </si>
  <si>
    <t>22-05-2026</t>
  </si>
  <si>
    <t>23-12-2026</t>
  </si>
  <si>
    <t>07-06-2023</t>
  </si>
  <si>
    <t>26-08-2024</t>
  </si>
  <si>
    <t>14-02-2026</t>
  </si>
  <si>
    <t>13-07-2026</t>
  </si>
  <si>
    <t>01-06-2024</t>
  </si>
  <si>
    <t>02-09-2023</t>
  </si>
  <si>
    <t>Jan</t>
  </si>
  <si>
    <t>Feb</t>
  </si>
  <si>
    <t>Mar</t>
  </si>
  <si>
    <t>Apr</t>
  </si>
  <si>
    <t>May</t>
  </si>
  <si>
    <t>Jun</t>
  </si>
  <si>
    <t>Jul</t>
  </si>
  <si>
    <t>Aug</t>
  </si>
  <si>
    <t>Sep</t>
  </si>
  <si>
    <t>Oct</t>
  </si>
  <si>
    <t>Nov</t>
  </si>
  <si>
    <t>Dec</t>
  </si>
  <si>
    <t>Sum of Income</t>
  </si>
  <si>
    <t>Total Income</t>
  </si>
  <si>
    <t>Total Expense</t>
  </si>
  <si>
    <t>Total Savings</t>
  </si>
  <si>
    <t>Budget Variance</t>
  </si>
  <si>
    <t>Actual</t>
  </si>
  <si>
    <t>Variance</t>
  </si>
  <si>
    <t>Sum of Actual</t>
  </si>
  <si>
    <t>Expenses</t>
  </si>
  <si>
    <t>Financial Budget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</si>
</sst>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0"/>
      <name val="Calibri"/>
      <family val="2"/>
      <scheme val="minor"/>
    </font>
    <font>
      <b/>
      <sz val="14"/>
      <color theme="4" tint="-0.249977111117893"/>
      <name val="Calibri"/>
      <family val="2"/>
      <scheme val="minor"/>
    </font>
    <font>
      <b/>
      <sz val="14"/>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vertical="center"/>
    </xf>
    <xf numFmtId="0" fontId="3" fillId="0" borderId="0" xfId="0" applyFont="1" applyAlignment="1">
      <alignment horizontal="center"/>
    </xf>
    <xf numFmtId="0" fontId="1" fillId="0" borderId="0" xfId="0" applyFont="1"/>
    <xf numFmtId="0" fontId="2" fillId="2" borderId="0" xfId="0" applyFont="1" applyFill="1" applyAlignment="1">
      <alignment horizontal="center" vertical="center"/>
    </xf>
  </cellXfs>
  <cellStyles count="1">
    <cellStyle name="Normal" xfId="0" builtinId="0"/>
  </cellStyles>
  <dxfs count="52">
    <dxf>
      <numFmt numFmtId="0" formatCode="General"/>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ill>
        <patternFill>
          <bgColor theme="9" tint="-0.24994659260841701"/>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24994659260841701"/>
        </patternFill>
      </fill>
    </dxf>
  </dxfs>
  <tableStyles count="1" defaultTableStyle="TableStyleMedium2" defaultPivotStyle="PivotStyleLight16">
    <tableStyle name="Table Style 1" pivot="0" count="1" xr9:uid="{FE41FB94-94C1-4099-A836-273F160F1A14}">
      <tableStyleElement type="headerRow" dxfId="51"/>
    </tableStyle>
  </tableStyles>
  <colors>
    <mruColors>
      <color rgb="FFEA0000"/>
      <color rgb="FFB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Planner.xlsm]Pivot_Table!Income Vs  Expense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Monthly Income Vs Expense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c:f>
              <c:strCache>
                <c:ptCount val="1"/>
                <c:pt idx="0">
                  <c:v>Sum of Income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Pivot_Table!$B$2:$B$14</c:f>
              <c:numCache>
                <c:formatCode>General</c:formatCode>
                <c:ptCount val="12"/>
                <c:pt idx="0">
                  <c:v>246177</c:v>
                </c:pt>
                <c:pt idx="1">
                  <c:v>369124</c:v>
                </c:pt>
                <c:pt idx="2">
                  <c:v>469633</c:v>
                </c:pt>
                <c:pt idx="3">
                  <c:v>581959</c:v>
                </c:pt>
                <c:pt idx="4">
                  <c:v>427274</c:v>
                </c:pt>
                <c:pt idx="5">
                  <c:v>234641</c:v>
                </c:pt>
                <c:pt idx="6">
                  <c:v>284971</c:v>
                </c:pt>
                <c:pt idx="7">
                  <c:v>401220</c:v>
                </c:pt>
                <c:pt idx="8">
                  <c:v>202458</c:v>
                </c:pt>
                <c:pt idx="9">
                  <c:v>291477</c:v>
                </c:pt>
                <c:pt idx="10">
                  <c:v>407528</c:v>
                </c:pt>
                <c:pt idx="11">
                  <c:v>257079</c:v>
                </c:pt>
              </c:numCache>
            </c:numRef>
          </c:val>
          <c:extLst>
            <c:ext xmlns:c16="http://schemas.microsoft.com/office/drawing/2014/chart" uri="{C3380CC4-5D6E-409C-BE32-E72D297353CC}">
              <c16:uniqueId val="{00000000-4CF2-4232-B764-9D7E5DEBDDC7}"/>
            </c:ext>
          </c:extLst>
        </c:ser>
        <c:ser>
          <c:idx val="1"/>
          <c:order val="1"/>
          <c:tx>
            <c:strRef>
              <c:f>Pivot_Table!$C$1</c:f>
              <c:strCache>
                <c:ptCount val="1"/>
                <c:pt idx="0">
                  <c:v>Sum of Expense</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Pivot_Table!$C$2:$C$14</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extLst>
            <c:ext xmlns:c16="http://schemas.microsoft.com/office/drawing/2014/chart" uri="{C3380CC4-5D6E-409C-BE32-E72D297353CC}">
              <c16:uniqueId val="{00000001-4CF2-4232-B764-9D7E5DEBDDC7}"/>
            </c:ext>
          </c:extLst>
        </c:ser>
        <c:dLbls>
          <c:showLegendKey val="0"/>
          <c:showVal val="0"/>
          <c:showCatName val="0"/>
          <c:showSerName val="0"/>
          <c:showPercent val="0"/>
          <c:showBubbleSize val="0"/>
        </c:dLbls>
        <c:gapWidth val="100"/>
        <c:overlap val="-24"/>
        <c:axId val="63552304"/>
        <c:axId val="63557584"/>
      </c:barChart>
      <c:catAx>
        <c:axId val="6355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7584"/>
        <c:crosses val="autoZero"/>
        <c:auto val="1"/>
        <c:lblAlgn val="ctr"/>
        <c:lblOffset val="100"/>
        <c:noMultiLvlLbl val="0"/>
      </c:catAx>
      <c:valAx>
        <c:axId val="63557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Planner.xlsm]Pivot_Table!Expense_Breakdown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Pivot_Table!$H$1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AC8-43F8-A45A-88EA141D84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AC8-43F8-A45A-88EA141D84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AC8-43F8-A45A-88EA141D844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AC8-43F8-A45A-88EA141D844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AC8-43F8-A45A-88EA141D844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AC8-43F8-A45A-88EA141D844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AC8-43F8-A45A-88EA141D844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AC8-43F8-A45A-88EA141D844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AC8-43F8-A45A-88EA141D844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AC8-43F8-A45A-88EA141D844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AC8-43F8-A45A-88EA141D844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AC8-43F8-A45A-88EA141D8441}"/>
              </c:ext>
            </c:extLst>
          </c:dPt>
          <c:cat>
            <c:strRef>
              <c:f>Pivot_Table!$G$2:$G$14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Pivot_Table!$H$2:$H$14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19-0F54-4538-A3CC-4AE1810AB2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[Financial Budget Planner.xlsm]Pivot_Table!Expense_Trend</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Expense Trend Analysis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Pivot_Table!$L$1</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Pivot_Table!$K$2:$K$13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Pivot_Table!$L$2:$L$13</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smooth val="0"/>
          <c:extLst>
            <c:ext xmlns:c16="http://schemas.microsoft.com/office/drawing/2014/chart" uri="{C3380CC4-5D6E-409C-BE32-E72D297353CC}">
              <c16:uniqueId val="{00000001-7AEC-4DBB-A8A0-53B50ED69E7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976337136"/>
        <c:axId val="1976339056"/>
      </c:lineChart>
      <c:catAx>
        <c:axId val="19763371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9056"/>
        <c:crosses val="autoZero"/>
        <c:auto val="1"/>
        <c:lblAlgn val="ctr"/>
        <c:lblOffset val="100"/>
        <c:noMultiLvlLbl val="0"/>
      </c:catAx>
      <c:valAx>
        <c:axId val="197633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71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Planner.xlsm]Pivot_Table!Budget Vs Actual</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Budget</a:t>
            </a:r>
            <a:r>
              <a:rPr lang="en-IN" baseline="0"/>
              <a:t> Vs Actual</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Pivot_Table!$Q$1</c:f>
              <c:strCache>
                <c:ptCount val="1"/>
                <c:pt idx="0">
                  <c:v>Sum of Budget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Pivot_Table!$Q$2:$Q$14</c:f>
              <c:numCache>
                <c:formatCode>General</c:formatCode>
                <c:ptCount val="12"/>
                <c:pt idx="0">
                  <c:v>0</c:v>
                </c:pt>
                <c:pt idx="1">
                  <c:v>270000</c:v>
                </c:pt>
                <c:pt idx="2">
                  <c:v>250000</c:v>
                </c:pt>
                <c:pt idx="3">
                  <c:v>0</c:v>
                </c:pt>
                <c:pt idx="4">
                  <c:v>460000</c:v>
                </c:pt>
                <c:pt idx="5">
                  <c:v>100000</c:v>
                </c:pt>
                <c:pt idx="6">
                  <c:v>300000</c:v>
                </c:pt>
                <c:pt idx="7">
                  <c:v>240000</c:v>
                </c:pt>
                <c:pt idx="8">
                  <c:v>0</c:v>
                </c:pt>
                <c:pt idx="9">
                  <c:v>400000</c:v>
                </c:pt>
                <c:pt idx="10">
                  <c:v>300000</c:v>
                </c:pt>
                <c:pt idx="11">
                  <c:v>450000</c:v>
                </c:pt>
              </c:numCache>
            </c:numRef>
          </c:val>
          <c:extLst>
            <c:ext xmlns:c16="http://schemas.microsoft.com/office/drawing/2014/chart" uri="{C3380CC4-5D6E-409C-BE32-E72D297353CC}">
              <c16:uniqueId val="{00000000-F8BF-4A72-85C0-0DFF668B2B09}"/>
            </c:ext>
          </c:extLst>
        </c:ser>
        <c:ser>
          <c:idx val="1"/>
          <c:order val="1"/>
          <c:tx>
            <c:strRef>
              <c:f>Pivot_Table!$R$1</c:f>
              <c:strCache>
                <c:ptCount val="1"/>
                <c:pt idx="0">
                  <c:v>Sum of Actual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Pivot_Table!$R$2:$R$14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01-F8BF-4A72-85C0-0DFF668B2B09}"/>
            </c:ext>
          </c:extLst>
        </c:ser>
        <c:dLbls>
          <c:showLegendKey val="0"/>
          <c:showVal val="0"/>
          <c:showCatName val="0"/>
          <c:showSerName val="0"/>
          <c:showPercent val="0"/>
          <c:showBubbleSize val="0"/>
        </c:dLbls>
        <c:axId val="2090904400"/>
        <c:axId val="2090918320"/>
      </c:areaChart>
      <c:catAx>
        <c:axId val="20909044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18320"/>
        <c:crosses val="autoZero"/>
        <c:auto val="1"/>
        <c:lblAlgn val="ctr"/>
        <c:lblOffset val="100"/>
        <c:noMultiLvlLbl val="0"/>
      </c:catAx>
      <c:valAx>
        <c:axId val="2090918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04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0">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6350</xdr:rowOff>
    </xdr:from>
    <xdr:to>
      <xdr:col>3</xdr:col>
      <xdr:colOff>697120</xdr:colOff>
      <xdr:row>4</xdr:row>
      <xdr:rowOff>6350</xdr:rowOff>
    </xdr:to>
    <xdr:sp macro="" textlink="">
      <xdr:nvSpPr>
        <xdr:cNvPr id="2" name="Rectangle 1">
          <a:extLst>
            <a:ext uri="{FF2B5EF4-FFF2-40B4-BE49-F238E27FC236}">
              <a16:creationId xmlns:a16="http://schemas.microsoft.com/office/drawing/2014/main" id="{63C33ECE-F955-4D73-58E8-C71B18556DA7}"/>
            </a:ext>
          </a:extLst>
        </xdr:cNvPr>
        <xdr:cNvSpPr/>
      </xdr:nvSpPr>
      <xdr:spPr>
        <a:xfrm>
          <a:off x="0" y="241024"/>
          <a:ext cx="2602120" cy="559076"/>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Income</a:t>
          </a:r>
          <a:endParaRPr lang="en-IN" sz="1200" b="1"/>
        </a:p>
      </xdr:txBody>
    </xdr:sp>
    <xdr:clientData/>
  </xdr:twoCellAnchor>
  <xdr:twoCellAnchor>
    <xdr:from>
      <xdr:col>4</xdr:col>
      <xdr:colOff>6350</xdr:colOff>
      <xdr:row>1</xdr:row>
      <xdr:rowOff>12700</xdr:rowOff>
    </xdr:from>
    <xdr:to>
      <xdr:col>8</xdr:col>
      <xdr:colOff>0</xdr:colOff>
      <xdr:row>4</xdr:row>
      <xdr:rowOff>0</xdr:rowOff>
    </xdr:to>
    <xdr:sp macro="" textlink="">
      <xdr:nvSpPr>
        <xdr:cNvPr id="3" name="Rectangle 2">
          <a:extLst>
            <a:ext uri="{FF2B5EF4-FFF2-40B4-BE49-F238E27FC236}">
              <a16:creationId xmlns:a16="http://schemas.microsoft.com/office/drawing/2014/main" id="{612CCC7A-F6DB-5B22-F6D1-D5D99C4F8C6D}"/>
            </a:ext>
          </a:extLst>
        </xdr:cNvPr>
        <xdr:cNvSpPr/>
      </xdr:nvSpPr>
      <xdr:spPr>
        <a:xfrm>
          <a:off x="2527300" y="247650"/>
          <a:ext cx="2514600" cy="539750"/>
        </a:xfrm>
        <a:prstGeom prst="rect">
          <a:avLst/>
        </a:prstGeom>
        <a:solidFill>
          <a:srgbClr val="EA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Total Expense</a:t>
          </a:r>
        </a:p>
      </xdr:txBody>
    </xdr:sp>
    <xdr:clientData/>
  </xdr:twoCellAnchor>
  <xdr:twoCellAnchor>
    <xdr:from>
      <xdr:col>8</xdr:col>
      <xdr:colOff>12700</xdr:colOff>
      <xdr:row>1</xdr:row>
      <xdr:rowOff>12700</xdr:rowOff>
    </xdr:from>
    <xdr:to>
      <xdr:col>11</xdr:col>
      <xdr:colOff>584200</xdr:colOff>
      <xdr:row>3</xdr:row>
      <xdr:rowOff>177800</xdr:rowOff>
    </xdr:to>
    <xdr:sp macro="" textlink="">
      <xdr:nvSpPr>
        <xdr:cNvPr id="4" name="Rectangle 3">
          <a:extLst>
            <a:ext uri="{FF2B5EF4-FFF2-40B4-BE49-F238E27FC236}">
              <a16:creationId xmlns:a16="http://schemas.microsoft.com/office/drawing/2014/main" id="{140C9CF7-4A41-7BE1-34D1-66FB4D631C63}"/>
            </a:ext>
          </a:extLst>
        </xdr:cNvPr>
        <xdr:cNvSpPr/>
      </xdr:nvSpPr>
      <xdr:spPr>
        <a:xfrm>
          <a:off x="5223841" y="247374"/>
          <a:ext cx="2476500" cy="537817"/>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 Savings</a:t>
          </a:r>
        </a:p>
      </xdr:txBody>
    </xdr:sp>
    <xdr:clientData/>
  </xdr:twoCellAnchor>
  <xdr:twoCellAnchor>
    <xdr:from>
      <xdr:col>11</xdr:col>
      <xdr:colOff>590550</xdr:colOff>
      <xdr:row>1</xdr:row>
      <xdr:rowOff>20706</xdr:rowOff>
    </xdr:from>
    <xdr:to>
      <xdr:col>15</xdr:col>
      <xdr:colOff>603250</xdr:colOff>
      <xdr:row>4</xdr:row>
      <xdr:rowOff>0</xdr:rowOff>
    </xdr:to>
    <xdr:sp macro="" textlink="">
      <xdr:nvSpPr>
        <xdr:cNvPr id="5" name="Rectangle 4">
          <a:extLst>
            <a:ext uri="{FF2B5EF4-FFF2-40B4-BE49-F238E27FC236}">
              <a16:creationId xmlns:a16="http://schemas.microsoft.com/office/drawing/2014/main" id="{E836C423-0063-5737-A276-F76352D059D4}"/>
            </a:ext>
          </a:extLst>
        </xdr:cNvPr>
        <xdr:cNvSpPr/>
      </xdr:nvSpPr>
      <xdr:spPr>
        <a:xfrm>
          <a:off x="7520333" y="255380"/>
          <a:ext cx="2739058" cy="53837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Budget Variance</a:t>
          </a:r>
        </a:p>
      </xdr:txBody>
    </xdr:sp>
    <xdr:clientData/>
  </xdr:twoCellAnchor>
  <xdr:twoCellAnchor>
    <xdr:from>
      <xdr:col>2</xdr:col>
      <xdr:colOff>75925</xdr:colOff>
      <xdr:row>6</xdr:row>
      <xdr:rowOff>6902</xdr:rowOff>
    </xdr:from>
    <xdr:to>
      <xdr:col>11</xdr:col>
      <xdr:colOff>469347</xdr:colOff>
      <xdr:row>21</xdr:row>
      <xdr:rowOff>0</xdr:rowOff>
    </xdr:to>
    <xdr:graphicFrame macro="">
      <xdr:nvGraphicFramePr>
        <xdr:cNvPr id="6" name="Chart 5">
          <a:extLst>
            <a:ext uri="{FF2B5EF4-FFF2-40B4-BE49-F238E27FC236}">
              <a16:creationId xmlns:a16="http://schemas.microsoft.com/office/drawing/2014/main" id="{970B9567-0F67-4519-BBBC-ABEB2BFD9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586684</xdr:colOff>
      <xdr:row>6</xdr:row>
      <xdr:rowOff>6902</xdr:rowOff>
    </xdr:from>
    <xdr:to>
      <xdr:col>15</xdr:col>
      <xdr:colOff>596899</xdr:colOff>
      <xdr:row>20</xdr:row>
      <xdr:rowOff>75924</xdr:rowOff>
    </xdr:to>
    <xdr:graphicFrame macro="">
      <xdr:nvGraphicFramePr>
        <xdr:cNvPr id="7" name="Chart 6">
          <a:extLst>
            <a:ext uri="{FF2B5EF4-FFF2-40B4-BE49-F238E27FC236}">
              <a16:creationId xmlns:a16="http://schemas.microsoft.com/office/drawing/2014/main" id="{31F5F660-2033-4BDD-8C6B-774FBE1109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55218</xdr:colOff>
      <xdr:row>21</xdr:row>
      <xdr:rowOff>95250</xdr:rowOff>
    </xdr:from>
    <xdr:to>
      <xdr:col>8</xdr:col>
      <xdr:colOff>20706</xdr:colOff>
      <xdr:row>33</xdr:row>
      <xdr:rowOff>171450</xdr:rowOff>
    </xdr:to>
    <xdr:graphicFrame macro="">
      <xdr:nvGraphicFramePr>
        <xdr:cNvPr id="8" name="Chart 7">
          <a:extLst>
            <a:ext uri="{FF2B5EF4-FFF2-40B4-BE49-F238E27FC236}">
              <a16:creationId xmlns:a16="http://schemas.microsoft.com/office/drawing/2014/main" id="{0FDFF991-DA38-4819-A7C4-F311BF626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18</xdr:row>
      <xdr:rowOff>101599</xdr:rowOff>
    </xdr:from>
    <xdr:to>
      <xdr:col>2</xdr:col>
      <xdr:colOff>6902</xdr:colOff>
      <xdr:row>24</xdr:row>
      <xdr:rowOff>177800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587EE311-2E60-4FF3-B3DA-D73DF37A459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3552686"/>
              <a:ext cx="1824659" cy="1194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26</xdr:row>
      <xdr:rowOff>12700</xdr:rowOff>
    </xdr:from>
    <xdr:to>
      <xdr:col>2</xdr:col>
      <xdr:colOff>0</xdr:colOff>
      <xdr:row>34</xdr:row>
      <xdr:rowOff>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0DA9AA0C-06D9-466E-8D86-C3DE2559722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0" y="4954657"/>
              <a:ext cx="1824659" cy="1478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11</xdr:row>
      <xdr:rowOff>101599</xdr:rowOff>
    </xdr:from>
    <xdr:to>
      <xdr:col>2</xdr:col>
      <xdr:colOff>0</xdr:colOff>
      <xdr:row>18</xdr:row>
      <xdr:rowOff>6350</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C16D2962-BADB-42BB-AC89-7C862250A00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50" y="2248175"/>
              <a:ext cx="1824659" cy="12092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5</xdr:row>
      <xdr:rowOff>228600</xdr:rowOff>
    </xdr:from>
    <xdr:to>
      <xdr:col>2</xdr:col>
      <xdr:colOff>20706</xdr:colOff>
      <xdr:row>11</xdr:row>
      <xdr:rowOff>0</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B5EDB4BE-D1C7-440C-B220-2E11F7C89B2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350" y="1208709"/>
              <a:ext cx="1818309" cy="9378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48314</xdr:colOff>
      <xdr:row>21</xdr:row>
      <xdr:rowOff>103533</xdr:rowOff>
    </xdr:from>
    <xdr:to>
      <xdr:col>11</xdr:col>
      <xdr:colOff>855869</xdr:colOff>
      <xdr:row>33</xdr:row>
      <xdr:rowOff>178353</xdr:rowOff>
    </xdr:to>
    <xdr:graphicFrame macro="">
      <xdr:nvGraphicFramePr>
        <xdr:cNvPr id="15" name="Chart 14">
          <a:extLst>
            <a:ext uri="{FF2B5EF4-FFF2-40B4-BE49-F238E27FC236}">
              <a16:creationId xmlns:a16="http://schemas.microsoft.com/office/drawing/2014/main" id="{744D7A72-6737-4811-B5FF-3298209E2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19050</xdr:rowOff>
    </xdr:from>
    <xdr:to>
      <xdr:col>1</xdr:col>
      <xdr:colOff>6350</xdr:colOff>
      <xdr:row>5</xdr:row>
      <xdr:rowOff>209550</xdr:rowOff>
    </xdr:to>
    <xdr:pic>
      <xdr:nvPicPr>
        <xdr:cNvPr id="25" name="Picture 24">
          <a:extLst>
            <a:ext uri="{FF2B5EF4-FFF2-40B4-BE49-F238E27FC236}">
              <a16:creationId xmlns:a16="http://schemas.microsoft.com/office/drawing/2014/main" id="{9CD4B26D-F12D-B845-D831-6893539D03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806450"/>
          <a:ext cx="615950" cy="374650"/>
        </a:xfrm>
        <a:prstGeom prst="rect">
          <a:avLst/>
        </a:prstGeom>
      </xdr:spPr>
    </xdr:pic>
    <xdr:clientData/>
  </xdr:twoCellAnchor>
  <xdr:twoCellAnchor editAs="oneCell">
    <xdr:from>
      <xdr:col>4</xdr:col>
      <xdr:colOff>0</xdr:colOff>
      <xdr:row>4</xdr:row>
      <xdr:rowOff>0</xdr:rowOff>
    </xdr:from>
    <xdr:to>
      <xdr:col>4</xdr:col>
      <xdr:colOff>603250</xdr:colOff>
      <xdr:row>6</xdr:row>
      <xdr:rowOff>6350</xdr:rowOff>
    </xdr:to>
    <xdr:pic>
      <xdr:nvPicPr>
        <xdr:cNvPr id="29" name="Picture 28">
          <a:extLst>
            <a:ext uri="{FF2B5EF4-FFF2-40B4-BE49-F238E27FC236}">
              <a16:creationId xmlns:a16="http://schemas.microsoft.com/office/drawing/2014/main" id="{A2F21BEC-F5A5-DE36-C58A-76EB262024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20950" y="787400"/>
          <a:ext cx="603250" cy="425450"/>
        </a:xfrm>
        <a:prstGeom prst="rect">
          <a:avLst/>
        </a:prstGeom>
      </xdr:spPr>
    </xdr:pic>
    <xdr:clientData/>
  </xdr:twoCellAnchor>
  <xdr:twoCellAnchor editAs="oneCell">
    <xdr:from>
      <xdr:col>8</xdr:col>
      <xdr:colOff>12700</xdr:colOff>
      <xdr:row>4</xdr:row>
      <xdr:rowOff>31750</xdr:rowOff>
    </xdr:from>
    <xdr:to>
      <xdr:col>9</xdr:col>
      <xdr:colOff>6349</xdr:colOff>
      <xdr:row>6</xdr:row>
      <xdr:rowOff>12700</xdr:rowOff>
    </xdr:to>
    <xdr:pic>
      <xdr:nvPicPr>
        <xdr:cNvPr id="31" name="Picture 30">
          <a:extLst>
            <a:ext uri="{FF2B5EF4-FFF2-40B4-BE49-F238E27FC236}">
              <a16:creationId xmlns:a16="http://schemas.microsoft.com/office/drawing/2014/main" id="{F90355A5-467D-6E09-992E-1C8D67E9C33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54600" y="819150"/>
          <a:ext cx="603250" cy="400050"/>
        </a:xfrm>
        <a:prstGeom prst="rect">
          <a:avLst/>
        </a:prstGeom>
      </xdr:spPr>
    </xdr:pic>
    <xdr:clientData/>
  </xdr:twoCellAnchor>
  <xdr:twoCellAnchor editAs="oneCell">
    <xdr:from>
      <xdr:col>12</xdr:col>
      <xdr:colOff>12700</xdr:colOff>
      <xdr:row>4</xdr:row>
      <xdr:rowOff>12698</xdr:rowOff>
    </xdr:from>
    <xdr:to>
      <xdr:col>12</xdr:col>
      <xdr:colOff>596900</xdr:colOff>
      <xdr:row>5</xdr:row>
      <xdr:rowOff>200162</xdr:rowOff>
    </xdr:to>
    <xdr:pic>
      <xdr:nvPicPr>
        <xdr:cNvPr id="33" name="Picture 32">
          <a:extLst>
            <a:ext uri="{FF2B5EF4-FFF2-40B4-BE49-F238E27FC236}">
              <a16:creationId xmlns:a16="http://schemas.microsoft.com/office/drawing/2014/main" id="{B0978D1E-A9FC-9175-7A70-118034BF72B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46667" y="806448"/>
          <a:ext cx="584200" cy="3738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5.474207175925" createdVersion="8" refreshedVersion="8" minRefreshableVersion="3" recordCount="300" xr:uid="{EB09948F-5A00-445A-950F-754A367F921C}">
  <cacheSource type="worksheet">
    <worksheetSource name="Finance_Data"/>
  </cacheSource>
  <cacheFields count="10">
    <cacheField name="Date" numFmtId="0">
      <sharedItems/>
    </cacheField>
    <cacheField name="Category" numFmtId="0">
      <sharedItems count="12">
        <s v="Salary"/>
        <s v="Utilities"/>
        <s v="Freelance"/>
        <s v="Shopping"/>
        <s v="Entertainment"/>
        <s v="Groceries"/>
        <s v="Transport"/>
        <s v="Bonus"/>
        <s v="Dining"/>
        <s v="Medical"/>
        <s v="Rent"/>
        <s v="Interest"/>
      </sharedItems>
    </cacheField>
    <cacheField name="Income" numFmtId="0">
      <sharedItems containsSemiMixedTypes="0" containsString="0" containsNumber="1" containsInteger="1" minValue="0" maxValue="77053"/>
    </cacheField>
    <cacheField name="Expense" numFmtId="0">
      <sharedItems containsSemiMixedTypes="0" containsString="0" containsNumber="1" containsInteger="1" minValue="0" maxValue="24861" count="204">
        <n v="0"/>
        <n v="5064"/>
        <n v="20220"/>
        <n v="18753"/>
        <n v="3914"/>
        <n v="16023"/>
        <n v="11085"/>
        <n v="11273"/>
        <n v="11314"/>
        <n v="3119"/>
        <n v="10498"/>
        <n v="15414"/>
        <n v="23819"/>
        <n v="6691"/>
        <n v="7435"/>
        <n v="17297"/>
        <n v="1245"/>
        <n v="9754"/>
        <n v="11491"/>
        <n v="24587"/>
        <n v="8839"/>
        <n v="3237"/>
        <n v="15084"/>
        <n v="6449"/>
        <n v="5097"/>
        <n v="14003"/>
        <n v="17848"/>
        <n v="19456"/>
        <n v="24792"/>
        <n v="10781"/>
        <n v="5012"/>
        <n v="15421"/>
        <n v="6884"/>
        <n v="24101"/>
        <n v="22977"/>
        <n v="22080"/>
        <n v="13595"/>
        <n v="14333"/>
        <n v="3485"/>
        <n v="10660"/>
        <n v="5279"/>
        <n v="7641"/>
        <n v="24479"/>
        <n v="3484"/>
        <n v="18654"/>
        <n v="3491"/>
        <n v="18683"/>
        <n v="17979"/>
        <n v="22711"/>
        <n v="7966"/>
        <n v="21799"/>
        <n v="19773"/>
        <n v="18467"/>
        <n v="16144"/>
        <n v="12965"/>
        <n v="4651"/>
        <n v="17621"/>
        <n v="7302"/>
        <n v="21218"/>
        <n v="9140"/>
        <n v="13515"/>
        <n v="531"/>
        <n v="3618"/>
        <n v="11985"/>
        <n v="2631"/>
        <n v="4980"/>
        <n v="18801"/>
        <n v="5246"/>
        <n v="14656"/>
        <n v="3596"/>
        <n v="6702"/>
        <n v="4887"/>
        <n v="3608"/>
        <n v="7861"/>
        <n v="19856"/>
        <n v="19412"/>
        <n v="17509"/>
        <n v="22805"/>
        <n v="13001"/>
        <n v="1577"/>
        <n v="24861"/>
        <n v="3917"/>
        <n v="2723"/>
        <n v="21159"/>
        <n v="14192"/>
        <n v="9739"/>
        <n v="16212"/>
        <n v="22258"/>
        <n v="1754"/>
        <n v="20916"/>
        <n v="10986"/>
        <n v="17845"/>
        <n v="17130"/>
        <n v="3961"/>
        <n v="9711"/>
        <n v="17358"/>
        <n v="11758"/>
        <n v="3831"/>
        <n v="12881"/>
        <n v="20400"/>
        <n v="20551"/>
        <n v="20588"/>
        <n v="6365"/>
        <n v="1284"/>
        <n v="856"/>
        <n v="8977"/>
        <n v="13335"/>
        <n v="5273"/>
        <n v="14653"/>
        <n v="14246"/>
        <n v="18145"/>
        <n v="19781"/>
        <n v="15335"/>
        <n v="21089"/>
        <n v="2523"/>
        <n v="12347"/>
        <n v="8753"/>
        <n v="21539"/>
        <n v="20258"/>
        <n v="15662"/>
        <n v="2870"/>
        <n v="13664"/>
        <n v="1564"/>
        <n v="8915"/>
        <n v="4178"/>
        <n v="929"/>
        <n v="9928"/>
        <n v="21122"/>
        <n v="18536"/>
        <n v="15646"/>
        <n v="965"/>
        <n v="18912"/>
        <n v="18294"/>
        <n v="20744"/>
        <n v="16199"/>
        <n v="18224"/>
        <n v="11454"/>
        <n v="15507"/>
        <n v="13689"/>
        <n v="22637"/>
        <n v="14891"/>
        <n v="7315"/>
        <n v="3339"/>
        <n v="12061"/>
        <n v="882"/>
        <n v="601"/>
        <n v="16351"/>
        <n v="24404"/>
        <n v="18887"/>
        <n v="15158"/>
        <n v="5684"/>
        <n v="7259"/>
        <n v="18660"/>
        <n v="23871"/>
        <n v="10820"/>
        <n v="12499"/>
        <n v="21384"/>
        <n v="21046"/>
        <n v="1729"/>
        <n v="13205"/>
        <n v="13914"/>
        <n v="5241"/>
        <n v="24811"/>
        <n v="20105"/>
        <n v="2476"/>
        <n v="21109"/>
        <n v="15062"/>
        <n v="2697"/>
        <n v="9965"/>
        <n v="14188"/>
        <n v="14194"/>
        <n v="21174"/>
        <n v="22946"/>
        <n v="11025"/>
        <n v="17152"/>
        <n v="8909"/>
        <n v="2765"/>
        <n v="14328"/>
        <n v="426"/>
        <n v="8260"/>
        <n v="5642"/>
        <n v="10368"/>
        <n v="18318"/>
        <n v="16978"/>
        <n v="17703"/>
        <n v="18607"/>
        <n v="11765"/>
        <n v="18199"/>
        <n v="24026"/>
        <n v="21196"/>
        <n v="5488"/>
        <n v="4452"/>
        <n v="11155"/>
        <n v="18860"/>
        <n v="22148"/>
        <n v="17083"/>
        <n v="7043"/>
        <n v="23398"/>
        <n v="6423"/>
        <n v="12160"/>
        <n v="16713"/>
        <n v="4362"/>
        <n v="19782"/>
        <n v="2471"/>
      </sharedItems>
    </cacheField>
    <cacheField name="Payment Method" numFmtId="0">
      <sharedItems count="5">
        <s v="Credit Card"/>
        <s v="Cash"/>
        <s v="Debit Card"/>
        <s v="Bank Transfer"/>
        <s v="UPI"/>
      </sharedItems>
    </cacheField>
    <cacheField name="Description" numFmtId="0">
      <sharedItems/>
    </cacheField>
    <cacheField name="Balance" numFmtId="0">
      <sharedItems containsSemiMixedTypes="0" containsString="0" containsNumber="1" containsInteger="1" minValue="-24861" maxValue="77053"/>
    </cacheField>
    <cacheField name="Month" numFmtId="0">
      <sharedItems count="12">
        <s v="Mar"/>
        <s v="May"/>
        <s v="Aug"/>
        <s v="Apr"/>
        <s v="Oct"/>
        <s v="Dec"/>
        <s v="Jan"/>
        <s v="Sep"/>
        <s v="Jul"/>
        <s v="Nov"/>
        <s v="Jun"/>
        <s v="Feb"/>
      </sharedItems>
    </cacheField>
    <cacheField name="Year" numFmtId="0">
      <sharedItems containsSemiMixedTypes="0" containsString="0" containsNumber="1" containsInteger="1" minValue="2023" maxValue="2026" count="4">
        <n v="2023"/>
        <n v="2024"/>
        <n v="2026"/>
        <n v="2025"/>
      </sharedItems>
    </cacheField>
    <cacheField name="Budget" numFmtId="0">
      <sharedItems containsSemiMixedTypes="0" containsString="0" containsNumber="1" containsInteger="1" minValue="0" maxValue="15000"/>
    </cacheField>
  </cacheFields>
  <extLst>
    <ext xmlns:x14="http://schemas.microsoft.com/office/spreadsheetml/2009/9/main" uri="{725AE2AE-9491-48be-B2B4-4EB974FC3084}">
      <x14:pivotCacheDefinition pivotCacheId="11716670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6.909312268515" createdVersion="8" refreshedVersion="8" minRefreshableVersion="3" recordCount="12" xr:uid="{3982916C-6A2D-402C-A848-22B40FF36E84}">
  <cacheSource type="worksheet">
    <worksheetSource name="tbl_budget"/>
  </cacheSource>
  <cacheFields count="4">
    <cacheField name="Category" numFmtId="0">
      <sharedItems count="12">
        <s v="Salary"/>
        <s v="Utilities"/>
        <s v="Freelance"/>
        <s v="Shopping"/>
        <s v="Entertainment"/>
        <s v="Groceries"/>
        <s v="Transport"/>
        <s v="Bonus"/>
        <s v="Dining"/>
        <s v="Medical"/>
        <s v="Rent"/>
        <s v="Interest"/>
      </sharedItems>
    </cacheField>
    <cacheField name="Budget" numFmtId="0">
      <sharedItems containsSemiMixedTypes="0" containsString="0" containsNumber="1" containsInteger="1" minValue="0" maxValue="460000"/>
    </cacheField>
    <cacheField name="Actual" numFmtId="0">
      <sharedItems containsSemiMixedTypes="0" containsString="0" containsNumber="1" containsInteger="1" minValue="0" maxValue="428630"/>
    </cacheField>
    <cacheField name="Variance" numFmtId="0">
      <sharedItems containsSemiMixedTypes="0" containsString="0" containsNumber="1" containsInteger="1" minValue="-47627"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27-03-2023"/>
    <x v="0"/>
    <n v="57613"/>
    <x v="0"/>
    <x v="0"/>
    <s v="Salary received"/>
    <n v="57613"/>
    <x v="0"/>
    <x v="0"/>
    <n v="0"/>
  </r>
  <r>
    <s v="29-05-2024"/>
    <x v="1"/>
    <n v="0"/>
    <x v="1"/>
    <x v="1"/>
    <s v="Utilities payment"/>
    <n v="-5064"/>
    <x v="1"/>
    <x v="1"/>
    <n v="4000"/>
  </r>
  <r>
    <s v="25-08-2024"/>
    <x v="2"/>
    <n v="42895"/>
    <x v="0"/>
    <x v="0"/>
    <s v="Freelance received"/>
    <n v="42895"/>
    <x v="2"/>
    <x v="1"/>
    <n v="0"/>
  </r>
  <r>
    <s v="12-04-2023"/>
    <x v="2"/>
    <n v="61755"/>
    <x v="0"/>
    <x v="0"/>
    <s v="Freelance received"/>
    <n v="61755"/>
    <x v="3"/>
    <x v="0"/>
    <n v="0"/>
  </r>
  <r>
    <s v="28-10-2024"/>
    <x v="3"/>
    <n v="0"/>
    <x v="2"/>
    <x v="2"/>
    <s v="Shopping payment"/>
    <n v="-20220"/>
    <x v="4"/>
    <x v="1"/>
    <n v="8000"/>
  </r>
  <r>
    <s v="21-03-2023"/>
    <x v="4"/>
    <n v="0"/>
    <x v="3"/>
    <x v="1"/>
    <s v="Entertainment payment"/>
    <n v="-18753"/>
    <x v="0"/>
    <x v="0"/>
    <n v="4000"/>
  </r>
  <r>
    <s v="12-12-2023"/>
    <x v="5"/>
    <n v="0"/>
    <x v="4"/>
    <x v="3"/>
    <s v="Groceries payment"/>
    <n v="-3914"/>
    <x v="5"/>
    <x v="0"/>
    <n v="7000"/>
  </r>
  <r>
    <s v="10-10-2026"/>
    <x v="6"/>
    <n v="0"/>
    <x v="5"/>
    <x v="3"/>
    <s v="Transport payment"/>
    <n v="-16023"/>
    <x v="4"/>
    <x v="2"/>
    <n v="3000"/>
  </r>
  <r>
    <s v="09-01-2025"/>
    <x v="3"/>
    <n v="0"/>
    <x v="6"/>
    <x v="3"/>
    <s v="Shopping payment"/>
    <n v="-11085"/>
    <x v="6"/>
    <x v="3"/>
    <n v="8000"/>
  </r>
  <r>
    <s v="25-09-2023"/>
    <x v="7"/>
    <n v="69111"/>
    <x v="0"/>
    <x v="4"/>
    <s v="Bonus received"/>
    <n v="69111"/>
    <x v="7"/>
    <x v="0"/>
    <n v="0"/>
  </r>
  <r>
    <s v="07-05-2024"/>
    <x v="0"/>
    <n v="9468"/>
    <x v="0"/>
    <x v="2"/>
    <s v="Salary received"/>
    <n v="9468"/>
    <x v="1"/>
    <x v="1"/>
    <n v="0"/>
  </r>
  <r>
    <s v="23-09-2024"/>
    <x v="4"/>
    <n v="0"/>
    <x v="7"/>
    <x v="4"/>
    <s v="Entertainment payment"/>
    <n v="-11273"/>
    <x v="7"/>
    <x v="1"/>
    <n v="4000"/>
  </r>
  <r>
    <s v="23-03-2025"/>
    <x v="0"/>
    <n v="68076"/>
    <x v="0"/>
    <x v="3"/>
    <s v="Salary received"/>
    <n v="68076"/>
    <x v="0"/>
    <x v="3"/>
    <n v="0"/>
  </r>
  <r>
    <s v="28-09-2026"/>
    <x v="1"/>
    <n v="0"/>
    <x v="8"/>
    <x v="0"/>
    <s v="Utilities payment"/>
    <n v="-11314"/>
    <x v="7"/>
    <x v="2"/>
    <n v="4000"/>
  </r>
  <r>
    <s v="08-04-2024"/>
    <x v="2"/>
    <n v="12462"/>
    <x v="0"/>
    <x v="4"/>
    <s v="Freelance received"/>
    <n v="12462"/>
    <x v="3"/>
    <x v="1"/>
    <n v="0"/>
  </r>
  <r>
    <s v="07-10-2026"/>
    <x v="1"/>
    <n v="0"/>
    <x v="9"/>
    <x v="0"/>
    <s v="Utilities payment"/>
    <n v="-3119"/>
    <x v="4"/>
    <x v="2"/>
    <n v="4000"/>
  </r>
  <r>
    <s v="07-07-2024"/>
    <x v="5"/>
    <n v="0"/>
    <x v="10"/>
    <x v="1"/>
    <s v="Groceries payment"/>
    <n v="-10498"/>
    <x v="8"/>
    <x v="1"/>
    <n v="7000"/>
  </r>
  <r>
    <s v="17-07-2023"/>
    <x v="4"/>
    <n v="0"/>
    <x v="11"/>
    <x v="3"/>
    <s v="Entertainment payment"/>
    <n v="-15414"/>
    <x v="8"/>
    <x v="0"/>
    <n v="4000"/>
  </r>
  <r>
    <s v="08-12-2025"/>
    <x v="5"/>
    <n v="0"/>
    <x v="12"/>
    <x v="0"/>
    <s v="Groceries payment"/>
    <n v="-23819"/>
    <x v="5"/>
    <x v="3"/>
    <n v="7000"/>
  </r>
  <r>
    <s v="16-11-2025"/>
    <x v="0"/>
    <n v="55989"/>
    <x v="0"/>
    <x v="3"/>
    <s v="Salary received"/>
    <n v="55989"/>
    <x v="9"/>
    <x v="3"/>
    <n v="0"/>
  </r>
  <r>
    <s v="27-07-2025"/>
    <x v="1"/>
    <n v="0"/>
    <x v="13"/>
    <x v="4"/>
    <s v="Utilities payment"/>
    <n v="-6691"/>
    <x v="8"/>
    <x v="3"/>
    <n v="4000"/>
  </r>
  <r>
    <s v="22-01-2025"/>
    <x v="0"/>
    <n v="39369"/>
    <x v="0"/>
    <x v="4"/>
    <s v="Salary received"/>
    <n v="39369"/>
    <x v="6"/>
    <x v="3"/>
    <n v="0"/>
  </r>
  <r>
    <s v="10-06-2025"/>
    <x v="2"/>
    <n v="23521"/>
    <x v="0"/>
    <x v="3"/>
    <s v="Freelance received"/>
    <n v="23521"/>
    <x v="10"/>
    <x v="3"/>
    <n v="0"/>
  </r>
  <r>
    <s v="21-01-2025"/>
    <x v="8"/>
    <n v="0"/>
    <x v="14"/>
    <x v="1"/>
    <s v="Dining payment"/>
    <n v="-7435"/>
    <x v="6"/>
    <x v="3"/>
    <n v="5000"/>
  </r>
  <r>
    <s v="12-07-2024"/>
    <x v="9"/>
    <n v="0"/>
    <x v="15"/>
    <x v="0"/>
    <s v="Medical payment"/>
    <n v="-17297"/>
    <x v="8"/>
    <x v="1"/>
    <n v="2500"/>
  </r>
  <r>
    <s v="20-11-2023"/>
    <x v="10"/>
    <n v="0"/>
    <x v="16"/>
    <x v="2"/>
    <s v="Rent payment"/>
    <n v="-1245"/>
    <x v="9"/>
    <x v="0"/>
    <n v="15000"/>
  </r>
  <r>
    <s v="25-04-2025"/>
    <x v="2"/>
    <n v="68338"/>
    <x v="0"/>
    <x v="1"/>
    <s v="Freelance received"/>
    <n v="68338"/>
    <x v="3"/>
    <x v="3"/>
    <n v="0"/>
  </r>
  <r>
    <s v="06-01-2023"/>
    <x v="11"/>
    <n v="44661"/>
    <x v="0"/>
    <x v="2"/>
    <s v="Interest received"/>
    <n v="44661"/>
    <x v="6"/>
    <x v="0"/>
    <n v="6000"/>
  </r>
  <r>
    <s v="04-11-2023"/>
    <x v="1"/>
    <n v="0"/>
    <x v="17"/>
    <x v="0"/>
    <s v="Utilities payment"/>
    <n v="-9754"/>
    <x v="9"/>
    <x v="0"/>
    <n v="4000"/>
  </r>
  <r>
    <s v="01-02-2026"/>
    <x v="10"/>
    <n v="0"/>
    <x v="18"/>
    <x v="1"/>
    <s v="Rent payment"/>
    <n v="-11491"/>
    <x v="11"/>
    <x v="2"/>
    <n v="15000"/>
  </r>
  <r>
    <s v="04-03-2024"/>
    <x v="0"/>
    <n v="37462"/>
    <x v="0"/>
    <x v="3"/>
    <s v="Salary received"/>
    <n v="37462"/>
    <x v="0"/>
    <x v="1"/>
    <n v="0"/>
  </r>
  <r>
    <s v="28-10-2024"/>
    <x v="1"/>
    <n v="0"/>
    <x v="19"/>
    <x v="1"/>
    <s v="Utilities payment"/>
    <n v="-24587"/>
    <x v="4"/>
    <x v="1"/>
    <n v="4000"/>
  </r>
  <r>
    <s v="19-09-2026"/>
    <x v="0"/>
    <n v="71803"/>
    <x v="0"/>
    <x v="2"/>
    <s v="Salary received"/>
    <n v="71803"/>
    <x v="7"/>
    <x v="2"/>
    <n v="0"/>
  </r>
  <r>
    <s v="08-06-2023"/>
    <x v="1"/>
    <n v="0"/>
    <x v="20"/>
    <x v="0"/>
    <s v="Utilities payment"/>
    <n v="-8839"/>
    <x v="10"/>
    <x v="0"/>
    <n v="4000"/>
  </r>
  <r>
    <s v="06-07-2023"/>
    <x v="4"/>
    <n v="0"/>
    <x v="21"/>
    <x v="4"/>
    <s v="Entertainment payment"/>
    <n v="-3237"/>
    <x v="8"/>
    <x v="0"/>
    <n v="4000"/>
  </r>
  <r>
    <s v="05-02-2026"/>
    <x v="10"/>
    <n v="0"/>
    <x v="22"/>
    <x v="1"/>
    <s v="Rent payment"/>
    <n v="-15084"/>
    <x v="11"/>
    <x v="2"/>
    <n v="15000"/>
  </r>
  <r>
    <s v="15-05-2026"/>
    <x v="9"/>
    <n v="0"/>
    <x v="23"/>
    <x v="1"/>
    <s v="Medical payment"/>
    <n v="-6449"/>
    <x v="1"/>
    <x v="2"/>
    <n v="2500"/>
  </r>
  <r>
    <s v="13-01-2025"/>
    <x v="7"/>
    <n v="51754"/>
    <x v="0"/>
    <x v="3"/>
    <s v="Bonus received"/>
    <n v="51754"/>
    <x v="6"/>
    <x v="3"/>
    <n v="0"/>
  </r>
  <r>
    <s v="29-06-2025"/>
    <x v="8"/>
    <n v="0"/>
    <x v="24"/>
    <x v="4"/>
    <s v="Dining payment"/>
    <n v="-5097"/>
    <x v="10"/>
    <x v="3"/>
    <n v="5000"/>
  </r>
  <r>
    <s v="25-11-2025"/>
    <x v="8"/>
    <n v="0"/>
    <x v="25"/>
    <x v="1"/>
    <s v="Dining payment"/>
    <n v="-14003"/>
    <x v="9"/>
    <x v="3"/>
    <n v="5000"/>
  </r>
  <r>
    <s v="16-12-2025"/>
    <x v="1"/>
    <n v="0"/>
    <x v="26"/>
    <x v="0"/>
    <s v="Utilities payment"/>
    <n v="-17848"/>
    <x v="5"/>
    <x v="3"/>
    <n v="4000"/>
  </r>
  <r>
    <s v="09-11-2024"/>
    <x v="4"/>
    <n v="0"/>
    <x v="27"/>
    <x v="2"/>
    <s v="Entertainment payment"/>
    <n v="-19456"/>
    <x v="9"/>
    <x v="1"/>
    <n v="4000"/>
  </r>
  <r>
    <s v="18-02-2024"/>
    <x v="9"/>
    <n v="0"/>
    <x v="28"/>
    <x v="4"/>
    <s v="Medical payment"/>
    <n v="-24792"/>
    <x v="11"/>
    <x v="1"/>
    <n v="2500"/>
  </r>
  <r>
    <s v="23-08-2023"/>
    <x v="10"/>
    <n v="0"/>
    <x v="29"/>
    <x v="2"/>
    <s v="Rent payment"/>
    <n v="-10781"/>
    <x v="2"/>
    <x v="0"/>
    <n v="15000"/>
  </r>
  <r>
    <s v="07-08-2024"/>
    <x v="3"/>
    <n v="0"/>
    <x v="30"/>
    <x v="4"/>
    <s v="Shopping payment"/>
    <n v="-5012"/>
    <x v="2"/>
    <x v="1"/>
    <n v="8000"/>
  </r>
  <r>
    <s v="05-06-2026"/>
    <x v="3"/>
    <n v="0"/>
    <x v="31"/>
    <x v="4"/>
    <s v="Shopping payment"/>
    <n v="-15421"/>
    <x v="10"/>
    <x v="2"/>
    <n v="8000"/>
  </r>
  <r>
    <s v="04-08-2024"/>
    <x v="7"/>
    <n v="34187"/>
    <x v="0"/>
    <x v="1"/>
    <s v="Bonus received"/>
    <n v="34187"/>
    <x v="2"/>
    <x v="1"/>
    <n v="0"/>
  </r>
  <r>
    <s v="05-02-2023"/>
    <x v="10"/>
    <n v="0"/>
    <x v="32"/>
    <x v="4"/>
    <s v="Rent payment"/>
    <n v="-6884"/>
    <x v="11"/>
    <x v="0"/>
    <n v="15000"/>
  </r>
  <r>
    <s v="24-09-2025"/>
    <x v="4"/>
    <n v="0"/>
    <x v="33"/>
    <x v="4"/>
    <s v="Entertainment payment"/>
    <n v="-24101"/>
    <x v="7"/>
    <x v="3"/>
    <n v="4000"/>
  </r>
  <r>
    <s v="23-11-2026"/>
    <x v="7"/>
    <n v="57951"/>
    <x v="0"/>
    <x v="0"/>
    <s v="Bonus received"/>
    <n v="57951"/>
    <x v="9"/>
    <x v="2"/>
    <n v="0"/>
  </r>
  <r>
    <s v="20-08-2025"/>
    <x v="5"/>
    <n v="0"/>
    <x v="34"/>
    <x v="0"/>
    <s v="Groceries payment"/>
    <n v="-22977"/>
    <x v="2"/>
    <x v="3"/>
    <n v="7000"/>
  </r>
  <r>
    <s v="04-04-2023"/>
    <x v="9"/>
    <n v="0"/>
    <x v="35"/>
    <x v="3"/>
    <s v="Medical payment"/>
    <n v="-22080"/>
    <x v="3"/>
    <x v="0"/>
    <n v="2500"/>
  </r>
  <r>
    <s v="21-08-2025"/>
    <x v="5"/>
    <n v="0"/>
    <x v="36"/>
    <x v="1"/>
    <s v="Groceries payment"/>
    <n v="-13595"/>
    <x v="2"/>
    <x v="3"/>
    <n v="7000"/>
  </r>
  <r>
    <s v="22-11-2026"/>
    <x v="11"/>
    <n v="34916"/>
    <x v="0"/>
    <x v="0"/>
    <s v="Interest received"/>
    <n v="34916"/>
    <x v="9"/>
    <x v="2"/>
    <n v="6000"/>
  </r>
  <r>
    <s v="17-04-2024"/>
    <x v="1"/>
    <n v="0"/>
    <x v="37"/>
    <x v="1"/>
    <s v="Utilities payment"/>
    <n v="-14333"/>
    <x v="3"/>
    <x v="1"/>
    <n v="4000"/>
  </r>
  <r>
    <s v="31-01-2026"/>
    <x v="3"/>
    <n v="0"/>
    <x v="38"/>
    <x v="0"/>
    <s v="Shopping payment"/>
    <n v="-3485"/>
    <x v="6"/>
    <x v="2"/>
    <n v="8000"/>
  </r>
  <r>
    <s v="22-04-2024"/>
    <x v="0"/>
    <n v="66348"/>
    <x v="0"/>
    <x v="4"/>
    <s v="Salary received"/>
    <n v="66348"/>
    <x v="3"/>
    <x v="1"/>
    <n v="0"/>
  </r>
  <r>
    <s v="11-08-2026"/>
    <x v="4"/>
    <n v="0"/>
    <x v="39"/>
    <x v="3"/>
    <s v="Entertainment payment"/>
    <n v="-10660"/>
    <x v="2"/>
    <x v="2"/>
    <n v="4000"/>
  </r>
  <r>
    <s v="19-07-2026"/>
    <x v="6"/>
    <n v="0"/>
    <x v="40"/>
    <x v="0"/>
    <s v="Transport payment"/>
    <n v="-5279"/>
    <x v="8"/>
    <x v="2"/>
    <n v="3000"/>
  </r>
  <r>
    <s v="31-03-2026"/>
    <x v="9"/>
    <n v="0"/>
    <x v="41"/>
    <x v="0"/>
    <s v="Medical payment"/>
    <n v="-7641"/>
    <x v="0"/>
    <x v="2"/>
    <n v="2500"/>
  </r>
  <r>
    <s v="11-03-2025"/>
    <x v="10"/>
    <n v="0"/>
    <x v="42"/>
    <x v="2"/>
    <s v="Rent payment"/>
    <n v="-24479"/>
    <x v="0"/>
    <x v="3"/>
    <n v="15000"/>
  </r>
  <r>
    <s v="30-03-2026"/>
    <x v="0"/>
    <n v="12782"/>
    <x v="0"/>
    <x v="1"/>
    <s v="Salary received"/>
    <n v="12782"/>
    <x v="0"/>
    <x v="2"/>
    <n v="0"/>
  </r>
  <r>
    <s v="04-11-2023"/>
    <x v="1"/>
    <n v="0"/>
    <x v="43"/>
    <x v="0"/>
    <s v="Utilities payment"/>
    <n v="-3484"/>
    <x v="9"/>
    <x v="0"/>
    <n v="4000"/>
  </r>
  <r>
    <s v="05-11-2026"/>
    <x v="0"/>
    <n v="37079"/>
    <x v="0"/>
    <x v="1"/>
    <s v="Salary received"/>
    <n v="37079"/>
    <x v="9"/>
    <x v="2"/>
    <n v="0"/>
  </r>
  <r>
    <s v="08-04-2024"/>
    <x v="2"/>
    <n v="58693"/>
    <x v="0"/>
    <x v="0"/>
    <s v="Freelance received"/>
    <n v="58693"/>
    <x v="3"/>
    <x v="1"/>
    <n v="0"/>
  </r>
  <r>
    <s v="21-03-2023"/>
    <x v="6"/>
    <n v="0"/>
    <x v="44"/>
    <x v="3"/>
    <s v="Transport payment"/>
    <n v="-18654"/>
    <x v="0"/>
    <x v="0"/>
    <n v="3000"/>
  </r>
  <r>
    <s v="14-12-2023"/>
    <x v="10"/>
    <n v="0"/>
    <x v="45"/>
    <x v="2"/>
    <s v="Rent payment"/>
    <n v="-3491"/>
    <x v="5"/>
    <x v="0"/>
    <n v="15000"/>
  </r>
  <r>
    <s v="07-04-2023"/>
    <x v="11"/>
    <n v="39508"/>
    <x v="0"/>
    <x v="1"/>
    <s v="Interest received"/>
    <n v="39508"/>
    <x v="3"/>
    <x v="0"/>
    <n v="6000"/>
  </r>
  <r>
    <s v="04-11-2024"/>
    <x v="5"/>
    <n v="0"/>
    <x v="46"/>
    <x v="2"/>
    <s v="Groceries payment"/>
    <n v="-18683"/>
    <x v="9"/>
    <x v="1"/>
    <n v="7000"/>
  </r>
  <r>
    <s v="19-05-2023"/>
    <x v="6"/>
    <n v="0"/>
    <x v="47"/>
    <x v="4"/>
    <s v="Transport payment"/>
    <n v="-17979"/>
    <x v="1"/>
    <x v="0"/>
    <n v="3000"/>
  </r>
  <r>
    <s v="12-02-2024"/>
    <x v="1"/>
    <n v="0"/>
    <x v="48"/>
    <x v="0"/>
    <s v="Utilities payment"/>
    <n v="-22711"/>
    <x v="11"/>
    <x v="1"/>
    <n v="4000"/>
  </r>
  <r>
    <s v="09-02-2025"/>
    <x v="8"/>
    <n v="0"/>
    <x v="49"/>
    <x v="0"/>
    <s v="Dining payment"/>
    <n v="-7966"/>
    <x v="11"/>
    <x v="3"/>
    <n v="5000"/>
  </r>
  <r>
    <s v="21-07-2025"/>
    <x v="3"/>
    <n v="0"/>
    <x v="50"/>
    <x v="2"/>
    <s v="Shopping payment"/>
    <n v="-21799"/>
    <x v="8"/>
    <x v="3"/>
    <n v="8000"/>
  </r>
  <r>
    <s v="13-05-2024"/>
    <x v="8"/>
    <n v="0"/>
    <x v="51"/>
    <x v="0"/>
    <s v="Dining payment"/>
    <n v="-19773"/>
    <x v="1"/>
    <x v="1"/>
    <n v="5000"/>
  </r>
  <r>
    <s v="05-08-2026"/>
    <x v="5"/>
    <n v="0"/>
    <x v="52"/>
    <x v="4"/>
    <s v="Groceries payment"/>
    <n v="-18467"/>
    <x v="2"/>
    <x v="2"/>
    <n v="7000"/>
  </r>
  <r>
    <s v="26-03-2023"/>
    <x v="9"/>
    <n v="0"/>
    <x v="53"/>
    <x v="3"/>
    <s v="Medical payment"/>
    <n v="-16144"/>
    <x v="0"/>
    <x v="0"/>
    <n v="2500"/>
  </r>
  <r>
    <s v="07-02-2026"/>
    <x v="7"/>
    <n v="41612"/>
    <x v="0"/>
    <x v="1"/>
    <s v="Bonus received"/>
    <n v="41612"/>
    <x v="11"/>
    <x v="2"/>
    <n v="0"/>
  </r>
  <r>
    <s v="29-05-2026"/>
    <x v="2"/>
    <n v="54498"/>
    <x v="0"/>
    <x v="4"/>
    <s v="Freelance received"/>
    <n v="54498"/>
    <x v="1"/>
    <x v="2"/>
    <n v="0"/>
  </r>
  <r>
    <s v="17-04-2025"/>
    <x v="8"/>
    <n v="0"/>
    <x v="54"/>
    <x v="2"/>
    <s v="Dining payment"/>
    <n v="-12965"/>
    <x v="3"/>
    <x v="3"/>
    <n v="5000"/>
  </r>
  <r>
    <s v="14-06-2024"/>
    <x v="6"/>
    <n v="0"/>
    <x v="55"/>
    <x v="0"/>
    <s v="Transport payment"/>
    <n v="-4651"/>
    <x v="10"/>
    <x v="1"/>
    <n v="3000"/>
  </r>
  <r>
    <s v="03-09-2026"/>
    <x v="5"/>
    <n v="0"/>
    <x v="56"/>
    <x v="2"/>
    <s v="Groceries payment"/>
    <n v="-17621"/>
    <x v="7"/>
    <x v="2"/>
    <n v="7000"/>
  </r>
  <r>
    <s v="02-03-2024"/>
    <x v="3"/>
    <n v="0"/>
    <x v="57"/>
    <x v="3"/>
    <s v="Shopping payment"/>
    <n v="-7302"/>
    <x v="0"/>
    <x v="1"/>
    <n v="8000"/>
  </r>
  <r>
    <s v="17-01-2026"/>
    <x v="0"/>
    <n v="21442"/>
    <x v="0"/>
    <x v="3"/>
    <s v="Salary received"/>
    <n v="21442"/>
    <x v="6"/>
    <x v="2"/>
    <n v="0"/>
  </r>
  <r>
    <s v="10-11-2023"/>
    <x v="11"/>
    <n v="55938"/>
    <x v="0"/>
    <x v="4"/>
    <s v="Interest received"/>
    <n v="55938"/>
    <x v="9"/>
    <x v="0"/>
    <n v="6000"/>
  </r>
  <r>
    <s v="29-01-2023"/>
    <x v="11"/>
    <n v="39690"/>
    <x v="0"/>
    <x v="4"/>
    <s v="Interest received"/>
    <n v="39690"/>
    <x v="6"/>
    <x v="0"/>
    <n v="6000"/>
  </r>
  <r>
    <s v="11-01-2025"/>
    <x v="10"/>
    <n v="0"/>
    <x v="58"/>
    <x v="0"/>
    <s v="Rent payment"/>
    <n v="-21218"/>
    <x v="6"/>
    <x v="3"/>
    <n v="15000"/>
  </r>
  <r>
    <s v="14-01-2024"/>
    <x v="10"/>
    <n v="0"/>
    <x v="59"/>
    <x v="4"/>
    <s v="Rent payment"/>
    <n v="-9140"/>
    <x v="6"/>
    <x v="1"/>
    <n v="15000"/>
  </r>
  <r>
    <s v="15-12-2024"/>
    <x v="3"/>
    <n v="0"/>
    <x v="60"/>
    <x v="3"/>
    <s v="Shopping payment"/>
    <n v="-13515"/>
    <x v="5"/>
    <x v="1"/>
    <n v="8000"/>
  </r>
  <r>
    <s v="23-09-2024"/>
    <x v="6"/>
    <n v="0"/>
    <x v="61"/>
    <x v="1"/>
    <s v="Transport payment"/>
    <n v="-531"/>
    <x v="7"/>
    <x v="1"/>
    <n v="3000"/>
  </r>
  <r>
    <s v="16-11-2025"/>
    <x v="10"/>
    <n v="0"/>
    <x v="62"/>
    <x v="1"/>
    <s v="Rent payment"/>
    <n v="-3618"/>
    <x v="9"/>
    <x v="3"/>
    <n v="15000"/>
  </r>
  <r>
    <s v="05-01-2024"/>
    <x v="10"/>
    <n v="0"/>
    <x v="63"/>
    <x v="2"/>
    <s v="Rent payment"/>
    <n v="-11985"/>
    <x v="6"/>
    <x v="1"/>
    <n v="15000"/>
  </r>
  <r>
    <s v="10-09-2024"/>
    <x v="1"/>
    <n v="0"/>
    <x v="64"/>
    <x v="0"/>
    <s v="Utilities payment"/>
    <n v="-2631"/>
    <x v="7"/>
    <x v="1"/>
    <n v="4000"/>
  </r>
  <r>
    <s v="14-01-2024"/>
    <x v="6"/>
    <n v="0"/>
    <x v="65"/>
    <x v="2"/>
    <s v="Transport payment"/>
    <n v="-4980"/>
    <x v="6"/>
    <x v="1"/>
    <n v="3000"/>
  </r>
  <r>
    <s v="18-07-2025"/>
    <x v="2"/>
    <n v="54325"/>
    <x v="0"/>
    <x v="0"/>
    <s v="Freelance received"/>
    <n v="54325"/>
    <x v="8"/>
    <x v="3"/>
    <n v="0"/>
  </r>
  <r>
    <s v="08-12-2023"/>
    <x v="9"/>
    <n v="0"/>
    <x v="66"/>
    <x v="4"/>
    <s v="Medical payment"/>
    <n v="-18801"/>
    <x v="5"/>
    <x v="0"/>
    <n v="2500"/>
  </r>
  <r>
    <s v="25-06-2023"/>
    <x v="5"/>
    <n v="0"/>
    <x v="67"/>
    <x v="1"/>
    <s v="Groceries payment"/>
    <n v="-5246"/>
    <x v="10"/>
    <x v="0"/>
    <n v="7000"/>
  </r>
  <r>
    <s v="20-03-2025"/>
    <x v="4"/>
    <n v="0"/>
    <x v="68"/>
    <x v="1"/>
    <s v="Entertainment payment"/>
    <n v="-14656"/>
    <x v="0"/>
    <x v="3"/>
    <n v="4000"/>
  </r>
  <r>
    <s v="20-06-2026"/>
    <x v="9"/>
    <n v="0"/>
    <x v="69"/>
    <x v="3"/>
    <s v="Medical payment"/>
    <n v="-3596"/>
    <x v="10"/>
    <x v="2"/>
    <n v="2500"/>
  </r>
  <r>
    <s v="30-11-2024"/>
    <x v="0"/>
    <n v="10150"/>
    <x v="0"/>
    <x v="2"/>
    <s v="Salary received"/>
    <n v="10150"/>
    <x v="9"/>
    <x v="1"/>
    <n v="0"/>
  </r>
  <r>
    <s v="20-11-2024"/>
    <x v="0"/>
    <n v="69905"/>
    <x v="0"/>
    <x v="1"/>
    <s v="Salary received"/>
    <n v="69905"/>
    <x v="9"/>
    <x v="1"/>
    <n v="0"/>
  </r>
  <r>
    <s v="04-12-2025"/>
    <x v="6"/>
    <n v="0"/>
    <x v="70"/>
    <x v="3"/>
    <s v="Transport payment"/>
    <n v="-6702"/>
    <x v="5"/>
    <x v="3"/>
    <n v="3000"/>
  </r>
  <r>
    <s v="07-08-2023"/>
    <x v="10"/>
    <n v="0"/>
    <x v="71"/>
    <x v="4"/>
    <s v="Rent payment"/>
    <n v="-4887"/>
    <x v="2"/>
    <x v="0"/>
    <n v="15000"/>
  </r>
  <r>
    <s v="09-10-2026"/>
    <x v="9"/>
    <n v="0"/>
    <x v="72"/>
    <x v="4"/>
    <s v="Medical payment"/>
    <n v="-3608"/>
    <x v="4"/>
    <x v="2"/>
    <n v="2500"/>
  </r>
  <r>
    <s v="11-08-2025"/>
    <x v="0"/>
    <n v="37741"/>
    <x v="0"/>
    <x v="3"/>
    <s v="Salary received"/>
    <n v="37741"/>
    <x v="2"/>
    <x v="3"/>
    <n v="0"/>
  </r>
  <r>
    <s v="23-10-2025"/>
    <x v="5"/>
    <n v="0"/>
    <x v="73"/>
    <x v="2"/>
    <s v="Groceries payment"/>
    <n v="-7861"/>
    <x v="4"/>
    <x v="3"/>
    <n v="7000"/>
  </r>
  <r>
    <s v="19-03-2026"/>
    <x v="11"/>
    <n v="67343"/>
    <x v="0"/>
    <x v="0"/>
    <s v="Interest received"/>
    <n v="67343"/>
    <x v="0"/>
    <x v="2"/>
    <n v="6000"/>
  </r>
  <r>
    <s v="10-12-2023"/>
    <x v="5"/>
    <n v="0"/>
    <x v="74"/>
    <x v="0"/>
    <s v="Groceries payment"/>
    <n v="-19856"/>
    <x v="5"/>
    <x v="0"/>
    <n v="7000"/>
  </r>
  <r>
    <s v="12-01-2023"/>
    <x v="5"/>
    <n v="0"/>
    <x v="75"/>
    <x v="3"/>
    <s v="Groceries payment"/>
    <n v="-19412"/>
    <x v="6"/>
    <x v="0"/>
    <n v="7000"/>
  </r>
  <r>
    <s v="04-01-2025"/>
    <x v="0"/>
    <n v="17083"/>
    <x v="0"/>
    <x v="4"/>
    <s v="Salary received"/>
    <n v="17083"/>
    <x v="6"/>
    <x v="3"/>
    <n v="0"/>
  </r>
  <r>
    <s v="04-03-2025"/>
    <x v="4"/>
    <n v="0"/>
    <x v="76"/>
    <x v="3"/>
    <s v="Entertainment payment"/>
    <n v="-17509"/>
    <x v="0"/>
    <x v="3"/>
    <n v="4000"/>
  </r>
  <r>
    <s v="13-03-2026"/>
    <x v="5"/>
    <n v="0"/>
    <x v="77"/>
    <x v="1"/>
    <s v="Groceries payment"/>
    <n v="-22805"/>
    <x v="0"/>
    <x v="2"/>
    <n v="7000"/>
  </r>
  <r>
    <s v="10-11-2026"/>
    <x v="10"/>
    <n v="0"/>
    <x v="78"/>
    <x v="1"/>
    <s v="Rent payment"/>
    <n v="-13001"/>
    <x v="9"/>
    <x v="2"/>
    <n v="15000"/>
  </r>
  <r>
    <s v="10-07-2023"/>
    <x v="8"/>
    <n v="0"/>
    <x v="79"/>
    <x v="3"/>
    <s v="Dining payment"/>
    <n v="-1577"/>
    <x v="8"/>
    <x v="0"/>
    <n v="5000"/>
  </r>
  <r>
    <s v="16-11-2024"/>
    <x v="6"/>
    <n v="0"/>
    <x v="80"/>
    <x v="2"/>
    <s v="Transport payment"/>
    <n v="-24861"/>
    <x v="9"/>
    <x v="1"/>
    <n v="3000"/>
  </r>
  <r>
    <s v="20-10-2024"/>
    <x v="0"/>
    <n v="28977"/>
    <x v="0"/>
    <x v="4"/>
    <s v="Salary received"/>
    <n v="28977"/>
    <x v="4"/>
    <x v="1"/>
    <n v="0"/>
  </r>
  <r>
    <s v="05-04-2026"/>
    <x v="8"/>
    <n v="0"/>
    <x v="81"/>
    <x v="1"/>
    <s v="Dining payment"/>
    <n v="-3917"/>
    <x v="3"/>
    <x v="2"/>
    <n v="5000"/>
  </r>
  <r>
    <s v="17-04-2026"/>
    <x v="1"/>
    <n v="0"/>
    <x v="82"/>
    <x v="2"/>
    <s v="Utilities payment"/>
    <n v="-2723"/>
    <x v="3"/>
    <x v="2"/>
    <n v="4000"/>
  </r>
  <r>
    <s v="31-10-2025"/>
    <x v="9"/>
    <n v="0"/>
    <x v="83"/>
    <x v="2"/>
    <s v="Medical payment"/>
    <n v="-21159"/>
    <x v="4"/>
    <x v="3"/>
    <n v="2500"/>
  </r>
  <r>
    <s v="23-09-2023"/>
    <x v="8"/>
    <n v="0"/>
    <x v="84"/>
    <x v="0"/>
    <s v="Dining payment"/>
    <n v="-14192"/>
    <x v="7"/>
    <x v="0"/>
    <n v="5000"/>
  </r>
  <r>
    <s v="23-05-2025"/>
    <x v="5"/>
    <n v="0"/>
    <x v="85"/>
    <x v="3"/>
    <s v="Groceries payment"/>
    <n v="-9739"/>
    <x v="1"/>
    <x v="3"/>
    <n v="7000"/>
  </r>
  <r>
    <s v="02-06-2024"/>
    <x v="1"/>
    <n v="0"/>
    <x v="86"/>
    <x v="4"/>
    <s v="Utilities payment"/>
    <n v="-16212"/>
    <x v="10"/>
    <x v="1"/>
    <n v="4000"/>
  </r>
  <r>
    <s v="25-02-2024"/>
    <x v="2"/>
    <n v="63052"/>
    <x v="0"/>
    <x v="1"/>
    <s v="Freelance received"/>
    <n v="63052"/>
    <x v="11"/>
    <x v="1"/>
    <n v="0"/>
  </r>
  <r>
    <s v="15-09-2026"/>
    <x v="9"/>
    <n v="0"/>
    <x v="87"/>
    <x v="4"/>
    <s v="Medical payment"/>
    <n v="-22258"/>
    <x v="7"/>
    <x v="2"/>
    <n v="2500"/>
  </r>
  <r>
    <s v="21-04-2025"/>
    <x v="6"/>
    <n v="0"/>
    <x v="88"/>
    <x v="1"/>
    <s v="Transport payment"/>
    <n v="-1754"/>
    <x v="3"/>
    <x v="3"/>
    <n v="3000"/>
  </r>
  <r>
    <s v="07-02-2024"/>
    <x v="11"/>
    <n v="38125"/>
    <x v="0"/>
    <x v="4"/>
    <s v="Interest received"/>
    <n v="38125"/>
    <x v="11"/>
    <x v="1"/>
    <n v="6000"/>
  </r>
  <r>
    <s v="08-03-2024"/>
    <x v="4"/>
    <n v="0"/>
    <x v="89"/>
    <x v="0"/>
    <s v="Entertainment payment"/>
    <n v="-20916"/>
    <x v="0"/>
    <x v="1"/>
    <n v="4000"/>
  </r>
  <r>
    <s v="21-04-2024"/>
    <x v="8"/>
    <n v="0"/>
    <x v="90"/>
    <x v="2"/>
    <s v="Dining payment"/>
    <n v="-10986"/>
    <x v="3"/>
    <x v="1"/>
    <n v="5000"/>
  </r>
  <r>
    <s v="15-12-2026"/>
    <x v="11"/>
    <n v="20779"/>
    <x v="0"/>
    <x v="3"/>
    <s v="Interest received"/>
    <n v="20779"/>
    <x v="5"/>
    <x v="2"/>
    <n v="6000"/>
  </r>
  <r>
    <s v="10-02-2023"/>
    <x v="1"/>
    <n v="0"/>
    <x v="91"/>
    <x v="3"/>
    <s v="Utilities payment"/>
    <n v="-17845"/>
    <x v="11"/>
    <x v="0"/>
    <n v="4000"/>
  </r>
  <r>
    <s v="14-06-2025"/>
    <x v="4"/>
    <n v="0"/>
    <x v="92"/>
    <x v="3"/>
    <s v="Entertainment payment"/>
    <n v="-17130"/>
    <x v="10"/>
    <x v="3"/>
    <n v="4000"/>
  </r>
  <r>
    <s v="12-03-2024"/>
    <x v="6"/>
    <n v="0"/>
    <x v="93"/>
    <x v="2"/>
    <s v="Transport payment"/>
    <n v="-3961"/>
    <x v="0"/>
    <x v="1"/>
    <n v="3000"/>
  </r>
  <r>
    <s v="06-01-2023"/>
    <x v="5"/>
    <n v="0"/>
    <x v="94"/>
    <x v="3"/>
    <s v="Groceries payment"/>
    <n v="-9711"/>
    <x v="6"/>
    <x v="0"/>
    <n v="7000"/>
  </r>
  <r>
    <s v="31-03-2024"/>
    <x v="10"/>
    <n v="0"/>
    <x v="95"/>
    <x v="4"/>
    <s v="Rent payment"/>
    <n v="-17358"/>
    <x v="0"/>
    <x v="1"/>
    <n v="15000"/>
  </r>
  <r>
    <s v="05-11-2026"/>
    <x v="7"/>
    <n v="57212"/>
    <x v="0"/>
    <x v="1"/>
    <s v="Bonus received"/>
    <n v="57212"/>
    <x v="9"/>
    <x v="2"/>
    <n v="0"/>
  </r>
  <r>
    <s v="21-05-2025"/>
    <x v="10"/>
    <n v="0"/>
    <x v="96"/>
    <x v="3"/>
    <s v="Rent payment"/>
    <n v="-11758"/>
    <x v="1"/>
    <x v="3"/>
    <n v="15000"/>
  </r>
  <r>
    <s v="26-09-2023"/>
    <x v="10"/>
    <n v="0"/>
    <x v="97"/>
    <x v="0"/>
    <s v="Rent payment"/>
    <n v="-3831"/>
    <x v="7"/>
    <x v="0"/>
    <n v="15000"/>
  </r>
  <r>
    <s v="07-12-2026"/>
    <x v="1"/>
    <n v="0"/>
    <x v="98"/>
    <x v="4"/>
    <s v="Utilities payment"/>
    <n v="-12881"/>
    <x v="5"/>
    <x v="2"/>
    <n v="4000"/>
  </r>
  <r>
    <s v="15-06-2024"/>
    <x v="7"/>
    <n v="23269"/>
    <x v="0"/>
    <x v="1"/>
    <s v="Bonus received"/>
    <n v="23269"/>
    <x v="10"/>
    <x v="1"/>
    <n v="0"/>
  </r>
  <r>
    <s v="16-03-2025"/>
    <x v="8"/>
    <n v="0"/>
    <x v="99"/>
    <x v="4"/>
    <s v="Dining payment"/>
    <n v="-20400"/>
    <x v="0"/>
    <x v="3"/>
    <n v="5000"/>
  </r>
  <r>
    <s v="18-07-2024"/>
    <x v="9"/>
    <n v="0"/>
    <x v="100"/>
    <x v="4"/>
    <s v="Medical payment"/>
    <n v="-20551"/>
    <x v="8"/>
    <x v="1"/>
    <n v="2500"/>
  </r>
  <r>
    <s v="13-09-2025"/>
    <x v="9"/>
    <n v="0"/>
    <x v="101"/>
    <x v="4"/>
    <s v="Medical payment"/>
    <n v="-20588"/>
    <x v="7"/>
    <x v="3"/>
    <n v="2500"/>
  </r>
  <r>
    <s v="05-01-2024"/>
    <x v="1"/>
    <n v="0"/>
    <x v="102"/>
    <x v="1"/>
    <s v="Utilities payment"/>
    <n v="-6365"/>
    <x v="6"/>
    <x v="1"/>
    <n v="4000"/>
  </r>
  <r>
    <s v="01-06-2025"/>
    <x v="11"/>
    <n v="77053"/>
    <x v="0"/>
    <x v="3"/>
    <s v="Interest received"/>
    <n v="77053"/>
    <x v="10"/>
    <x v="3"/>
    <n v="6000"/>
  </r>
  <r>
    <s v="02-08-2024"/>
    <x v="6"/>
    <n v="0"/>
    <x v="103"/>
    <x v="2"/>
    <s v="Transport payment"/>
    <n v="-1284"/>
    <x v="2"/>
    <x v="1"/>
    <n v="3000"/>
  </r>
  <r>
    <s v="05-01-2025"/>
    <x v="9"/>
    <n v="0"/>
    <x v="104"/>
    <x v="4"/>
    <s v="Medical payment"/>
    <n v="-856"/>
    <x v="6"/>
    <x v="3"/>
    <n v="2500"/>
  </r>
  <r>
    <s v="19-10-2024"/>
    <x v="1"/>
    <n v="0"/>
    <x v="105"/>
    <x v="0"/>
    <s v="Utilities payment"/>
    <n v="-8977"/>
    <x v="4"/>
    <x v="1"/>
    <n v="4000"/>
  </r>
  <r>
    <s v="03-04-2024"/>
    <x v="2"/>
    <n v="21552"/>
    <x v="0"/>
    <x v="3"/>
    <s v="Freelance received"/>
    <n v="21552"/>
    <x v="3"/>
    <x v="1"/>
    <n v="0"/>
  </r>
  <r>
    <s v="28-06-2023"/>
    <x v="8"/>
    <n v="0"/>
    <x v="106"/>
    <x v="2"/>
    <s v="Dining payment"/>
    <n v="-13335"/>
    <x v="10"/>
    <x v="0"/>
    <n v="5000"/>
  </r>
  <r>
    <s v="06-06-2026"/>
    <x v="4"/>
    <n v="0"/>
    <x v="107"/>
    <x v="0"/>
    <s v="Entertainment payment"/>
    <n v="-5273"/>
    <x v="10"/>
    <x v="2"/>
    <n v="4000"/>
  </r>
  <r>
    <s v="21-07-2025"/>
    <x v="11"/>
    <n v="32031"/>
    <x v="0"/>
    <x v="3"/>
    <s v="Interest received"/>
    <n v="32031"/>
    <x v="8"/>
    <x v="3"/>
    <n v="6000"/>
  </r>
  <r>
    <s v="12-05-2023"/>
    <x v="7"/>
    <n v="60620"/>
    <x v="0"/>
    <x v="3"/>
    <s v="Bonus received"/>
    <n v="60620"/>
    <x v="1"/>
    <x v="0"/>
    <n v="0"/>
  </r>
  <r>
    <s v="19-02-2026"/>
    <x v="8"/>
    <n v="0"/>
    <x v="108"/>
    <x v="0"/>
    <s v="Dining payment"/>
    <n v="-14653"/>
    <x v="11"/>
    <x v="2"/>
    <n v="5000"/>
  </r>
  <r>
    <s v="03-09-2024"/>
    <x v="8"/>
    <n v="0"/>
    <x v="109"/>
    <x v="4"/>
    <s v="Dining payment"/>
    <n v="-14246"/>
    <x v="7"/>
    <x v="1"/>
    <n v="5000"/>
  </r>
  <r>
    <s v="25-12-2025"/>
    <x v="10"/>
    <n v="0"/>
    <x v="110"/>
    <x v="4"/>
    <s v="Rent payment"/>
    <n v="-18145"/>
    <x v="5"/>
    <x v="3"/>
    <n v="15000"/>
  </r>
  <r>
    <s v="26-11-2026"/>
    <x v="3"/>
    <n v="0"/>
    <x v="111"/>
    <x v="0"/>
    <s v="Shopping payment"/>
    <n v="-19781"/>
    <x v="9"/>
    <x v="2"/>
    <n v="8000"/>
  </r>
  <r>
    <s v="08-04-2024"/>
    <x v="10"/>
    <n v="0"/>
    <x v="112"/>
    <x v="1"/>
    <s v="Rent payment"/>
    <n v="-15335"/>
    <x v="3"/>
    <x v="1"/>
    <n v="15000"/>
  </r>
  <r>
    <s v="03-10-2025"/>
    <x v="3"/>
    <n v="0"/>
    <x v="113"/>
    <x v="1"/>
    <s v="Shopping payment"/>
    <n v="-21089"/>
    <x v="4"/>
    <x v="3"/>
    <n v="8000"/>
  </r>
  <r>
    <s v="10-06-2024"/>
    <x v="10"/>
    <n v="0"/>
    <x v="114"/>
    <x v="0"/>
    <s v="Rent payment"/>
    <n v="-2523"/>
    <x v="10"/>
    <x v="1"/>
    <n v="15000"/>
  </r>
  <r>
    <s v="08-08-2025"/>
    <x v="4"/>
    <n v="0"/>
    <x v="115"/>
    <x v="1"/>
    <s v="Entertainment payment"/>
    <n v="-12347"/>
    <x v="2"/>
    <x v="3"/>
    <n v="4000"/>
  </r>
  <r>
    <s v="09-08-2023"/>
    <x v="3"/>
    <n v="0"/>
    <x v="116"/>
    <x v="2"/>
    <s v="Shopping payment"/>
    <n v="-8753"/>
    <x v="2"/>
    <x v="0"/>
    <n v="8000"/>
  </r>
  <r>
    <s v="27-10-2024"/>
    <x v="3"/>
    <n v="0"/>
    <x v="117"/>
    <x v="4"/>
    <s v="Shopping payment"/>
    <n v="-21539"/>
    <x v="4"/>
    <x v="1"/>
    <n v="8000"/>
  </r>
  <r>
    <s v="17-10-2023"/>
    <x v="2"/>
    <n v="21594"/>
    <x v="0"/>
    <x v="3"/>
    <s v="Freelance received"/>
    <n v="21594"/>
    <x v="4"/>
    <x v="0"/>
    <n v="0"/>
  </r>
  <r>
    <s v="30-07-2023"/>
    <x v="7"/>
    <n v="55295"/>
    <x v="0"/>
    <x v="0"/>
    <s v="Bonus received"/>
    <n v="55295"/>
    <x v="8"/>
    <x v="0"/>
    <n v="0"/>
  </r>
  <r>
    <s v="27-04-2025"/>
    <x v="1"/>
    <n v="0"/>
    <x v="118"/>
    <x v="4"/>
    <s v="Utilities payment"/>
    <n v="-20258"/>
    <x v="3"/>
    <x v="3"/>
    <n v="4000"/>
  </r>
  <r>
    <s v="27-03-2024"/>
    <x v="6"/>
    <n v="0"/>
    <x v="119"/>
    <x v="2"/>
    <s v="Transport payment"/>
    <n v="-15662"/>
    <x v="0"/>
    <x v="1"/>
    <n v="3000"/>
  </r>
  <r>
    <s v="06-05-2024"/>
    <x v="3"/>
    <n v="0"/>
    <x v="120"/>
    <x v="2"/>
    <s v="Shopping payment"/>
    <n v="-2870"/>
    <x v="1"/>
    <x v="1"/>
    <n v="8000"/>
  </r>
  <r>
    <s v="07-08-2024"/>
    <x v="9"/>
    <n v="0"/>
    <x v="121"/>
    <x v="4"/>
    <s v="Medical payment"/>
    <n v="-13664"/>
    <x v="2"/>
    <x v="1"/>
    <n v="2500"/>
  </r>
  <r>
    <s v="17-12-2025"/>
    <x v="3"/>
    <n v="0"/>
    <x v="122"/>
    <x v="0"/>
    <s v="Shopping payment"/>
    <n v="-1564"/>
    <x v="5"/>
    <x v="3"/>
    <n v="8000"/>
  </r>
  <r>
    <s v="12-08-2024"/>
    <x v="5"/>
    <n v="0"/>
    <x v="123"/>
    <x v="4"/>
    <s v="Groceries payment"/>
    <n v="-8915"/>
    <x v="2"/>
    <x v="1"/>
    <n v="7000"/>
  </r>
  <r>
    <s v="16-09-2024"/>
    <x v="3"/>
    <n v="0"/>
    <x v="124"/>
    <x v="3"/>
    <s v="Shopping payment"/>
    <n v="-4178"/>
    <x v="7"/>
    <x v="1"/>
    <n v="8000"/>
  </r>
  <r>
    <s v="01-06-2023"/>
    <x v="9"/>
    <n v="0"/>
    <x v="125"/>
    <x v="2"/>
    <s v="Medical payment"/>
    <n v="-929"/>
    <x v="10"/>
    <x v="0"/>
    <n v="2500"/>
  </r>
  <r>
    <s v="06-10-2023"/>
    <x v="7"/>
    <n v="32731"/>
    <x v="0"/>
    <x v="1"/>
    <s v="Bonus received"/>
    <n v="32731"/>
    <x v="4"/>
    <x v="0"/>
    <n v="0"/>
  </r>
  <r>
    <s v="20-09-2025"/>
    <x v="1"/>
    <n v="0"/>
    <x v="126"/>
    <x v="1"/>
    <s v="Utilities payment"/>
    <n v="-9928"/>
    <x v="7"/>
    <x v="3"/>
    <n v="4000"/>
  </r>
  <r>
    <s v="27-05-2025"/>
    <x v="7"/>
    <n v="37755"/>
    <x v="0"/>
    <x v="1"/>
    <s v="Bonus received"/>
    <n v="37755"/>
    <x v="1"/>
    <x v="3"/>
    <n v="0"/>
  </r>
  <r>
    <s v="17-10-2024"/>
    <x v="11"/>
    <n v="35454"/>
    <x v="0"/>
    <x v="4"/>
    <s v="Interest received"/>
    <n v="35454"/>
    <x v="4"/>
    <x v="1"/>
    <n v="6000"/>
  </r>
  <r>
    <s v="28-12-2026"/>
    <x v="11"/>
    <n v="53998"/>
    <x v="0"/>
    <x v="1"/>
    <s v="Interest received"/>
    <n v="53998"/>
    <x v="5"/>
    <x v="2"/>
    <n v="6000"/>
  </r>
  <r>
    <s v="11-07-2025"/>
    <x v="0"/>
    <n v="12310"/>
    <x v="0"/>
    <x v="4"/>
    <s v="Salary received"/>
    <n v="12310"/>
    <x v="8"/>
    <x v="3"/>
    <n v="0"/>
  </r>
  <r>
    <s v="31-08-2024"/>
    <x v="3"/>
    <n v="0"/>
    <x v="127"/>
    <x v="4"/>
    <s v="Shopping payment"/>
    <n v="-21122"/>
    <x v="2"/>
    <x v="1"/>
    <n v="8000"/>
  </r>
  <r>
    <s v="10-02-2024"/>
    <x v="8"/>
    <n v="0"/>
    <x v="128"/>
    <x v="3"/>
    <s v="Dining payment"/>
    <n v="-18536"/>
    <x v="11"/>
    <x v="1"/>
    <n v="5000"/>
  </r>
  <r>
    <s v="06-05-2024"/>
    <x v="1"/>
    <n v="0"/>
    <x v="129"/>
    <x v="2"/>
    <s v="Utilities payment"/>
    <n v="-15646"/>
    <x v="1"/>
    <x v="1"/>
    <n v="4000"/>
  </r>
  <r>
    <s v="06-01-2026"/>
    <x v="6"/>
    <n v="0"/>
    <x v="130"/>
    <x v="4"/>
    <s v="Transport payment"/>
    <n v="-965"/>
    <x v="6"/>
    <x v="2"/>
    <n v="3000"/>
  </r>
  <r>
    <s v="28-04-2025"/>
    <x v="7"/>
    <n v="35338"/>
    <x v="0"/>
    <x v="1"/>
    <s v="Bonus received"/>
    <n v="35338"/>
    <x v="3"/>
    <x v="3"/>
    <n v="0"/>
  </r>
  <r>
    <s v="13-01-2026"/>
    <x v="6"/>
    <n v="0"/>
    <x v="131"/>
    <x v="3"/>
    <s v="Transport payment"/>
    <n v="-18912"/>
    <x v="6"/>
    <x v="2"/>
    <n v="3000"/>
  </r>
  <r>
    <s v="30-03-2025"/>
    <x v="7"/>
    <n v="51084"/>
    <x v="0"/>
    <x v="4"/>
    <s v="Bonus received"/>
    <n v="51084"/>
    <x v="0"/>
    <x v="3"/>
    <n v="0"/>
  </r>
  <r>
    <s v="27-04-2026"/>
    <x v="7"/>
    <n v="38925"/>
    <x v="0"/>
    <x v="3"/>
    <s v="Bonus received"/>
    <n v="38925"/>
    <x v="3"/>
    <x v="2"/>
    <n v="0"/>
  </r>
  <r>
    <s v="14-05-2023"/>
    <x v="5"/>
    <n v="0"/>
    <x v="132"/>
    <x v="0"/>
    <s v="Groceries payment"/>
    <n v="-18294"/>
    <x v="1"/>
    <x v="0"/>
    <n v="7000"/>
  </r>
  <r>
    <s v="16-08-2025"/>
    <x v="3"/>
    <n v="0"/>
    <x v="133"/>
    <x v="4"/>
    <s v="Shopping payment"/>
    <n v="-20744"/>
    <x v="2"/>
    <x v="3"/>
    <n v="8000"/>
  </r>
  <r>
    <s v="12-08-2025"/>
    <x v="11"/>
    <n v="61512"/>
    <x v="0"/>
    <x v="0"/>
    <s v="Interest received"/>
    <n v="61512"/>
    <x v="2"/>
    <x v="3"/>
    <n v="6000"/>
  </r>
  <r>
    <s v="27-10-2023"/>
    <x v="0"/>
    <n v="66022"/>
    <x v="0"/>
    <x v="0"/>
    <s v="Salary received"/>
    <n v="66022"/>
    <x v="4"/>
    <x v="0"/>
    <n v="0"/>
  </r>
  <r>
    <s v="16-03-2024"/>
    <x v="2"/>
    <n v="70616"/>
    <x v="0"/>
    <x v="1"/>
    <s v="Freelance received"/>
    <n v="70616"/>
    <x v="0"/>
    <x v="1"/>
    <n v="0"/>
  </r>
  <r>
    <s v="19-01-2026"/>
    <x v="1"/>
    <n v="0"/>
    <x v="108"/>
    <x v="4"/>
    <s v="Utilities payment"/>
    <n v="-14653"/>
    <x v="6"/>
    <x v="2"/>
    <n v="4000"/>
  </r>
  <r>
    <s v="06-09-2025"/>
    <x v="1"/>
    <n v="0"/>
    <x v="134"/>
    <x v="0"/>
    <s v="Utilities payment"/>
    <n v="-16199"/>
    <x v="7"/>
    <x v="3"/>
    <n v="4000"/>
  </r>
  <r>
    <s v="06-01-2025"/>
    <x v="6"/>
    <n v="0"/>
    <x v="135"/>
    <x v="0"/>
    <s v="Transport payment"/>
    <n v="-18224"/>
    <x v="6"/>
    <x v="3"/>
    <n v="3000"/>
  </r>
  <r>
    <s v="25-04-2023"/>
    <x v="1"/>
    <n v="0"/>
    <x v="136"/>
    <x v="1"/>
    <s v="Utilities payment"/>
    <n v="-11454"/>
    <x v="3"/>
    <x v="0"/>
    <n v="4000"/>
  </r>
  <r>
    <s v="16-05-2025"/>
    <x v="4"/>
    <n v="0"/>
    <x v="137"/>
    <x v="0"/>
    <s v="Entertainment payment"/>
    <n v="-15507"/>
    <x v="1"/>
    <x v="3"/>
    <n v="4000"/>
  </r>
  <r>
    <s v="27-01-2026"/>
    <x v="0"/>
    <n v="21743"/>
    <x v="0"/>
    <x v="2"/>
    <s v="Salary received"/>
    <n v="21743"/>
    <x v="6"/>
    <x v="2"/>
    <n v="0"/>
  </r>
  <r>
    <s v="24-09-2025"/>
    <x v="5"/>
    <n v="0"/>
    <x v="138"/>
    <x v="1"/>
    <s v="Groceries payment"/>
    <n v="-13689"/>
    <x v="7"/>
    <x v="3"/>
    <n v="7000"/>
  </r>
  <r>
    <s v="29-07-2025"/>
    <x v="5"/>
    <n v="0"/>
    <x v="139"/>
    <x v="1"/>
    <s v="Groceries payment"/>
    <n v="-22637"/>
    <x v="8"/>
    <x v="3"/>
    <n v="7000"/>
  </r>
  <r>
    <s v="17-07-2023"/>
    <x v="6"/>
    <n v="0"/>
    <x v="140"/>
    <x v="4"/>
    <s v="Transport payment"/>
    <n v="-14891"/>
    <x v="8"/>
    <x v="0"/>
    <n v="3000"/>
  </r>
  <r>
    <s v="21-03-2026"/>
    <x v="7"/>
    <n v="33187"/>
    <x v="0"/>
    <x v="3"/>
    <s v="Bonus received"/>
    <n v="33187"/>
    <x v="0"/>
    <x v="2"/>
    <n v="0"/>
  </r>
  <r>
    <s v="30-07-2025"/>
    <x v="6"/>
    <n v="0"/>
    <x v="141"/>
    <x v="3"/>
    <s v="Transport payment"/>
    <n v="-7315"/>
    <x v="8"/>
    <x v="3"/>
    <n v="3000"/>
  </r>
  <r>
    <s v="02-05-2026"/>
    <x v="2"/>
    <n v="53304"/>
    <x v="0"/>
    <x v="2"/>
    <s v="Freelance received"/>
    <n v="53304"/>
    <x v="1"/>
    <x v="2"/>
    <n v="0"/>
  </r>
  <r>
    <s v="16-10-2026"/>
    <x v="4"/>
    <n v="0"/>
    <x v="142"/>
    <x v="1"/>
    <s v="Entertainment payment"/>
    <n v="-3339"/>
    <x v="4"/>
    <x v="2"/>
    <n v="4000"/>
  </r>
  <r>
    <s v="16-04-2026"/>
    <x v="2"/>
    <n v="55225"/>
    <x v="0"/>
    <x v="1"/>
    <s v="Freelance received"/>
    <n v="55225"/>
    <x v="3"/>
    <x v="2"/>
    <n v="0"/>
  </r>
  <r>
    <s v="14-05-2026"/>
    <x v="3"/>
    <n v="0"/>
    <x v="143"/>
    <x v="1"/>
    <s v="Shopping payment"/>
    <n v="-12061"/>
    <x v="1"/>
    <x v="2"/>
    <n v="8000"/>
  </r>
  <r>
    <s v="16-04-2023"/>
    <x v="10"/>
    <n v="0"/>
    <x v="144"/>
    <x v="0"/>
    <s v="Rent payment"/>
    <n v="-882"/>
    <x v="3"/>
    <x v="0"/>
    <n v="15000"/>
  </r>
  <r>
    <s v="12-04-2025"/>
    <x v="11"/>
    <n v="53851"/>
    <x v="0"/>
    <x v="1"/>
    <s v="Interest received"/>
    <n v="53851"/>
    <x v="3"/>
    <x v="3"/>
    <n v="6000"/>
  </r>
  <r>
    <s v="26-06-2026"/>
    <x v="10"/>
    <n v="0"/>
    <x v="145"/>
    <x v="0"/>
    <s v="Rent payment"/>
    <n v="-601"/>
    <x v="10"/>
    <x v="2"/>
    <n v="15000"/>
  </r>
  <r>
    <s v="05-04-2023"/>
    <x v="9"/>
    <n v="0"/>
    <x v="146"/>
    <x v="3"/>
    <s v="Medical payment"/>
    <n v="-16351"/>
    <x v="3"/>
    <x v="0"/>
    <n v="2500"/>
  </r>
  <r>
    <s v="24-01-2024"/>
    <x v="1"/>
    <n v="0"/>
    <x v="147"/>
    <x v="1"/>
    <s v="Utilities payment"/>
    <n v="-24404"/>
    <x v="6"/>
    <x v="1"/>
    <n v="4000"/>
  </r>
  <r>
    <s v="22-03-2023"/>
    <x v="10"/>
    <n v="0"/>
    <x v="148"/>
    <x v="4"/>
    <s v="Rent payment"/>
    <n v="-18887"/>
    <x v="0"/>
    <x v="0"/>
    <n v="15000"/>
  </r>
  <r>
    <s v="09-10-2023"/>
    <x v="5"/>
    <n v="0"/>
    <x v="149"/>
    <x v="2"/>
    <s v="Groceries payment"/>
    <n v="-15158"/>
    <x v="4"/>
    <x v="0"/>
    <n v="7000"/>
  </r>
  <r>
    <s v="11-02-2026"/>
    <x v="9"/>
    <n v="0"/>
    <x v="150"/>
    <x v="4"/>
    <s v="Medical payment"/>
    <n v="-5684"/>
    <x v="11"/>
    <x v="2"/>
    <n v="2500"/>
  </r>
  <r>
    <s v="18-12-2023"/>
    <x v="11"/>
    <n v="11147"/>
    <x v="0"/>
    <x v="1"/>
    <s v="Interest received"/>
    <n v="11147"/>
    <x v="5"/>
    <x v="0"/>
    <n v="6000"/>
  </r>
  <r>
    <s v="08-07-2026"/>
    <x v="6"/>
    <n v="0"/>
    <x v="151"/>
    <x v="1"/>
    <s v="Transport payment"/>
    <n v="-7259"/>
    <x v="8"/>
    <x v="2"/>
    <n v="3000"/>
  </r>
  <r>
    <s v="03-10-2026"/>
    <x v="4"/>
    <n v="0"/>
    <x v="152"/>
    <x v="3"/>
    <s v="Entertainment payment"/>
    <n v="-18660"/>
    <x v="4"/>
    <x v="2"/>
    <n v="4000"/>
  </r>
  <r>
    <s v="23-08-2024"/>
    <x v="11"/>
    <n v="60028"/>
    <x v="0"/>
    <x v="2"/>
    <s v="Interest received"/>
    <n v="60028"/>
    <x v="2"/>
    <x v="1"/>
    <n v="6000"/>
  </r>
  <r>
    <s v="18-04-2025"/>
    <x v="9"/>
    <n v="0"/>
    <x v="153"/>
    <x v="2"/>
    <s v="Medical payment"/>
    <n v="-23871"/>
    <x v="3"/>
    <x v="3"/>
    <n v="2500"/>
  </r>
  <r>
    <s v="21-02-2025"/>
    <x v="10"/>
    <n v="0"/>
    <x v="154"/>
    <x v="0"/>
    <s v="Rent payment"/>
    <n v="-10820"/>
    <x v="11"/>
    <x v="3"/>
    <n v="15000"/>
  </r>
  <r>
    <s v="27-10-2024"/>
    <x v="4"/>
    <n v="0"/>
    <x v="155"/>
    <x v="0"/>
    <s v="Entertainment payment"/>
    <n v="-12499"/>
    <x v="4"/>
    <x v="1"/>
    <n v="4000"/>
  </r>
  <r>
    <s v="02-08-2024"/>
    <x v="8"/>
    <n v="0"/>
    <x v="156"/>
    <x v="1"/>
    <s v="Dining payment"/>
    <n v="-21384"/>
    <x v="2"/>
    <x v="1"/>
    <n v="5000"/>
  </r>
  <r>
    <s v="05-12-2026"/>
    <x v="0"/>
    <n v="47340"/>
    <x v="0"/>
    <x v="1"/>
    <s v="Salary received"/>
    <n v="47340"/>
    <x v="5"/>
    <x v="2"/>
    <n v="0"/>
  </r>
  <r>
    <s v="29-09-2024"/>
    <x v="3"/>
    <n v="0"/>
    <x v="157"/>
    <x v="4"/>
    <s v="Shopping payment"/>
    <n v="-21046"/>
    <x v="7"/>
    <x v="1"/>
    <n v="8000"/>
  </r>
  <r>
    <s v="03-10-2025"/>
    <x v="9"/>
    <n v="0"/>
    <x v="56"/>
    <x v="0"/>
    <s v="Medical payment"/>
    <n v="-17621"/>
    <x v="4"/>
    <x v="3"/>
    <n v="2500"/>
  </r>
  <r>
    <s v="24-12-2025"/>
    <x v="0"/>
    <n v="43721"/>
    <x v="0"/>
    <x v="2"/>
    <s v="Salary received"/>
    <n v="43721"/>
    <x v="5"/>
    <x v="3"/>
    <n v="0"/>
  </r>
  <r>
    <s v="28-05-2026"/>
    <x v="11"/>
    <n v="52458"/>
    <x v="0"/>
    <x v="0"/>
    <s v="Interest received"/>
    <n v="52458"/>
    <x v="1"/>
    <x v="2"/>
    <n v="6000"/>
  </r>
  <r>
    <s v="19-05-2025"/>
    <x v="0"/>
    <n v="65824"/>
    <x v="0"/>
    <x v="2"/>
    <s v="Salary received"/>
    <n v="65824"/>
    <x v="1"/>
    <x v="3"/>
    <n v="0"/>
  </r>
  <r>
    <s v="26-02-2023"/>
    <x v="6"/>
    <n v="0"/>
    <x v="158"/>
    <x v="0"/>
    <s v="Transport payment"/>
    <n v="-1729"/>
    <x v="11"/>
    <x v="0"/>
    <n v="3000"/>
  </r>
  <r>
    <s v="13-09-2026"/>
    <x v="5"/>
    <n v="0"/>
    <x v="159"/>
    <x v="3"/>
    <s v="Groceries payment"/>
    <n v="-13205"/>
    <x v="7"/>
    <x v="2"/>
    <n v="7000"/>
  </r>
  <r>
    <s v="07-02-2026"/>
    <x v="7"/>
    <n v="57388"/>
    <x v="0"/>
    <x v="1"/>
    <s v="Bonus received"/>
    <n v="57388"/>
    <x v="11"/>
    <x v="2"/>
    <n v="0"/>
  </r>
  <r>
    <s v="18-05-2025"/>
    <x v="5"/>
    <n v="0"/>
    <x v="160"/>
    <x v="2"/>
    <s v="Groceries payment"/>
    <n v="-13914"/>
    <x v="1"/>
    <x v="3"/>
    <n v="7000"/>
  </r>
  <r>
    <s v="09-02-2024"/>
    <x v="4"/>
    <n v="0"/>
    <x v="161"/>
    <x v="2"/>
    <s v="Entertainment payment"/>
    <n v="-5241"/>
    <x v="11"/>
    <x v="1"/>
    <n v="4000"/>
  </r>
  <r>
    <s v="02-01-2024"/>
    <x v="2"/>
    <n v="10435"/>
    <x v="0"/>
    <x v="4"/>
    <s v="Freelance received"/>
    <n v="10435"/>
    <x v="6"/>
    <x v="1"/>
    <n v="0"/>
  </r>
  <r>
    <s v="07-08-2026"/>
    <x v="1"/>
    <n v="0"/>
    <x v="162"/>
    <x v="0"/>
    <s v="Utilities payment"/>
    <n v="-24811"/>
    <x v="2"/>
    <x v="2"/>
    <n v="4000"/>
  </r>
  <r>
    <s v="06-09-2026"/>
    <x v="1"/>
    <n v="0"/>
    <x v="163"/>
    <x v="4"/>
    <s v="Utilities payment"/>
    <n v="-20105"/>
    <x v="7"/>
    <x v="2"/>
    <n v="4000"/>
  </r>
  <r>
    <s v="27-02-2025"/>
    <x v="10"/>
    <n v="0"/>
    <x v="164"/>
    <x v="1"/>
    <s v="Rent payment"/>
    <n v="-2476"/>
    <x v="11"/>
    <x v="3"/>
    <n v="15000"/>
  </r>
  <r>
    <s v="04-02-2023"/>
    <x v="7"/>
    <n v="77012"/>
    <x v="0"/>
    <x v="1"/>
    <s v="Bonus received"/>
    <n v="77012"/>
    <x v="11"/>
    <x v="0"/>
    <n v="0"/>
  </r>
  <r>
    <s v="18-08-2023"/>
    <x v="5"/>
    <n v="0"/>
    <x v="165"/>
    <x v="4"/>
    <s v="Groceries payment"/>
    <n v="-21109"/>
    <x v="2"/>
    <x v="0"/>
    <n v="7000"/>
  </r>
  <r>
    <s v="05-12-2025"/>
    <x v="0"/>
    <n v="20680"/>
    <x v="0"/>
    <x v="0"/>
    <s v="Salary received"/>
    <n v="20680"/>
    <x v="5"/>
    <x v="3"/>
    <n v="0"/>
  </r>
  <r>
    <s v="11-04-2024"/>
    <x v="5"/>
    <n v="0"/>
    <x v="166"/>
    <x v="3"/>
    <s v="Groceries payment"/>
    <n v="-15062"/>
    <x v="3"/>
    <x v="1"/>
    <n v="7000"/>
  </r>
  <r>
    <s v="31-10-2025"/>
    <x v="2"/>
    <n v="69458"/>
    <x v="0"/>
    <x v="3"/>
    <s v="Freelance received"/>
    <n v="69458"/>
    <x v="4"/>
    <x v="3"/>
    <n v="0"/>
  </r>
  <r>
    <s v="22-11-2023"/>
    <x v="8"/>
    <n v="0"/>
    <x v="167"/>
    <x v="2"/>
    <s v="Dining payment"/>
    <n v="-2697"/>
    <x v="9"/>
    <x v="0"/>
    <n v="5000"/>
  </r>
  <r>
    <s v="11-06-2025"/>
    <x v="11"/>
    <n v="46066"/>
    <x v="0"/>
    <x v="0"/>
    <s v="Interest received"/>
    <n v="46066"/>
    <x v="10"/>
    <x v="3"/>
    <n v="6000"/>
  </r>
  <r>
    <s v="18-06-2023"/>
    <x v="7"/>
    <n v="17188"/>
    <x v="0"/>
    <x v="0"/>
    <s v="Bonus received"/>
    <n v="17188"/>
    <x v="10"/>
    <x v="0"/>
    <n v="0"/>
  </r>
  <r>
    <s v="14-08-2026"/>
    <x v="4"/>
    <n v="0"/>
    <x v="168"/>
    <x v="4"/>
    <s v="Entertainment payment"/>
    <n v="-9965"/>
    <x v="2"/>
    <x v="2"/>
    <n v="4000"/>
  </r>
  <r>
    <s v="02-07-2025"/>
    <x v="5"/>
    <n v="0"/>
    <x v="169"/>
    <x v="1"/>
    <s v="Groceries payment"/>
    <n v="-14188"/>
    <x v="8"/>
    <x v="3"/>
    <n v="7000"/>
  </r>
  <r>
    <s v="04-07-2023"/>
    <x v="5"/>
    <n v="0"/>
    <x v="170"/>
    <x v="0"/>
    <s v="Groceries payment"/>
    <n v="-14194"/>
    <x v="8"/>
    <x v="0"/>
    <n v="7000"/>
  </r>
  <r>
    <s v="05-12-2024"/>
    <x v="2"/>
    <n v="28203"/>
    <x v="0"/>
    <x v="2"/>
    <s v="Freelance received"/>
    <n v="28203"/>
    <x v="5"/>
    <x v="1"/>
    <n v="0"/>
  </r>
  <r>
    <s v="21-09-2025"/>
    <x v="2"/>
    <n v="61544"/>
    <x v="0"/>
    <x v="3"/>
    <s v="Freelance received"/>
    <n v="61544"/>
    <x v="7"/>
    <x v="3"/>
    <n v="0"/>
  </r>
  <r>
    <s v="15-08-2026"/>
    <x v="7"/>
    <n v="71120"/>
    <x v="0"/>
    <x v="3"/>
    <s v="Bonus received"/>
    <n v="71120"/>
    <x v="2"/>
    <x v="2"/>
    <n v="0"/>
  </r>
  <r>
    <s v="08-04-2025"/>
    <x v="9"/>
    <n v="0"/>
    <x v="171"/>
    <x v="1"/>
    <s v="Medical payment"/>
    <n v="-21174"/>
    <x v="3"/>
    <x v="3"/>
    <n v="2500"/>
  </r>
  <r>
    <s v="07-06-2026"/>
    <x v="4"/>
    <n v="0"/>
    <x v="172"/>
    <x v="4"/>
    <s v="Entertainment payment"/>
    <n v="-22946"/>
    <x v="10"/>
    <x v="2"/>
    <n v="4000"/>
  </r>
  <r>
    <s v="07-08-2024"/>
    <x v="6"/>
    <n v="0"/>
    <x v="173"/>
    <x v="3"/>
    <s v="Transport payment"/>
    <n v="-11025"/>
    <x v="2"/>
    <x v="1"/>
    <n v="3000"/>
  </r>
  <r>
    <s v="05-12-2026"/>
    <x v="9"/>
    <n v="0"/>
    <x v="174"/>
    <x v="2"/>
    <s v="Medical payment"/>
    <n v="-17152"/>
    <x v="5"/>
    <x v="2"/>
    <n v="2500"/>
  </r>
  <r>
    <s v="17-11-2025"/>
    <x v="11"/>
    <n v="28388"/>
    <x v="0"/>
    <x v="1"/>
    <s v="Interest received"/>
    <n v="28388"/>
    <x v="9"/>
    <x v="3"/>
    <n v="6000"/>
  </r>
  <r>
    <s v="08-06-2024"/>
    <x v="3"/>
    <n v="0"/>
    <x v="175"/>
    <x v="0"/>
    <s v="Shopping payment"/>
    <n v="-8909"/>
    <x v="10"/>
    <x v="1"/>
    <n v="8000"/>
  </r>
  <r>
    <s v="24-04-2023"/>
    <x v="8"/>
    <n v="0"/>
    <x v="176"/>
    <x v="2"/>
    <s v="Dining payment"/>
    <n v="-2765"/>
    <x v="3"/>
    <x v="0"/>
    <n v="5000"/>
  </r>
  <r>
    <s v="19-03-2024"/>
    <x v="2"/>
    <n v="37828"/>
    <x v="0"/>
    <x v="2"/>
    <s v="Freelance received"/>
    <n v="37828"/>
    <x v="0"/>
    <x v="1"/>
    <n v="0"/>
  </r>
  <r>
    <s v="28-12-2025"/>
    <x v="6"/>
    <n v="0"/>
    <x v="177"/>
    <x v="1"/>
    <s v="Transport payment"/>
    <n v="-14328"/>
    <x v="5"/>
    <x v="3"/>
    <n v="3000"/>
  </r>
  <r>
    <s v="14-10-2025"/>
    <x v="3"/>
    <n v="0"/>
    <x v="178"/>
    <x v="0"/>
    <s v="Shopping payment"/>
    <n v="-426"/>
    <x v="4"/>
    <x v="3"/>
    <n v="8000"/>
  </r>
  <r>
    <s v="31-03-2024"/>
    <x v="4"/>
    <n v="0"/>
    <x v="179"/>
    <x v="0"/>
    <s v="Entertainment payment"/>
    <n v="-8260"/>
    <x v="0"/>
    <x v="1"/>
    <n v="4000"/>
  </r>
  <r>
    <s v="21-07-2024"/>
    <x v="2"/>
    <n v="19904"/>
    <x v="0"/>
    <x v="1"/>
    <s v="Freelance received"/>
    <n v="19904"/>
    <x v="8"/>
    <x v="1"/>
    <n v="0"/>
  </r>
  <r>
    <s v="23-10-2026"/>
    <x v="8"/>
    <n v="0"/>
    <x v="180"/>
    <x v="4"/>
    <s v="Dining payment"/>
    <n v="-5642"/>
    <x v="4"/>
    <x v="2"/>
    <n v="5000"/>
  </r>
  <r>
    <s v="26-09-2023"/>
    <x v="10"/>
    <n v="0"/>
    <x v="181"/>
    <x v="0"/>
    <s v="Rent payment"/>
    <n v="-10368"/>
    <x v="7"/>
    <x v="0"/>
    <n v="15000"/>
  </r>
  <r>
    <s v="10-08-2025"/>
    <x v="7"/>
    <n v="23707"/>
    <x v="0"/>
    <x v="0"/>
    <s v="Bonus received"/>
    <n v="23707"/>
    <x v="2"/>
    <x v="3"/>
    <n v="0"/>
  </r>
  <r>
    <s v="13-10-2024"/>
    <x v="9"/>
    <n v="0"/>
    <x v="182"/>
    <x v="2"/>
    <s v="Medical payment"/>
    <n v="-18318"/>
    <x v="4"/>
    <x v="1"/>
    <n v="2500"/>
  </r>
  <r>
    <s v="14-06-2025"/>
    <x v="5"/>
    <n v="0"/>
    <x v="183"/>
    <x v="1"/>
    <s v="Groceries payment"/>
    <n v="-16978"/>
    <x v="10"/>
    <x v="3"/>
    <n v="7000"/>
  </r>
  <r>
    <s v="14-11-2024"/>
    <x v="3"/>
    <n v="0"/>
    <x v="184"/>
    <x v="0"/>
    <s v="Shopping payment"/>
    <n v="-17703"/>
    <x v="9"/>
    <x v="1"/>
    <n v="8000"/>
  </r>
  <r>
    <s v="05-03-2025"/>
    <x v="10"/>
    <n v="0"/>
    <x v="185"/>
    <x v="2"/>
    <s v="Rent payment"/>
    <n v="-18607"/>
    <x v="0"/>
    <x v="3"/>
    <n v="15000"/>
  </r>
  <r>
    <s v="21-10-2024"/>
    <x v="1"/>
    <n v="0"/>
    <x v="186"/>
    <x v="1"/>
    <s v="Utilities payment"/>
    <n v="-11765"/>
    <x v="4"/>
    <x v="1"/>
    <n v="4000"/>
  </r>
  <r>
    <s v="26-07-2024"/>
    <x v="1"/>
    <n v="0"/>
    <x v="187"/>
    <x v="0"/>
    <s v="Utilities payment"/>
    <n v="-18199"/>
    <x v="8"/>
    <x v="1"/>
    <n v="4000"/>
  </r>
  <r>
    <s v="17-07-2026"/>
    <x v="2"/>
    <n v="56765"/>
    <x v="0"/>
    <x v="1"/>
    <s v="Freelance received"/>
    <n v="56765"/>
    <x v="8"/>
    <x v="2"/>
    <n v="0"/>
  </r>
  <r>
    <s v="21-07-2024"/>
    <x v="2"/>
    <n v="54341"/>
    <x v="0"/>
    <x v="4"/>
    <s v="Freelance received"/>
    <n v="54341"/>
    <x v="8"/>
    <x v="1"/>
    <n v="0"/>
  </r>
  <r>
    <s v="05-02-2024"/>
    <x v="7"/>
    <n v="58614"/>
    <x v="0"/>
    <x v="0"/>
    <s v="Bonus received"/>
    <n v="58614"/>
    <x v="11"/>
    <x v="1"/>
    <n v="0"/>
  </r>
  <r>
    <s v="01-09-2025"/>
    <x v="6"/>
    <n v="0"/>
    <x v="188"/>
    <x v="4"/>
    <s v="Transport payment"/>
    <n v="-24026"/>
    <x v="7"/>
    <x v="3"/>
    <n v="3000"/>
  </r>
  <r>
    <s v="03-05-2024"/>
    <x v="3"/>
    <n v="0"/>
    <x v="189"/>
    <x v="4"/>
    <s v="Shopping payment"/>
    <n v="-21196"/>
    <x v="1"/>
    <x v="1"/>
    <n v="8000"/>
  </r>
  <r>
    <s v="03-12-2023"/>
    <x v="4"/>
    <n v="0"/>
    <x v="190"/>
    <x v="0"/>
    <s v="Entertainment payment"/>
    <n v="-5488"/>
    <x v="5"/>
    <x v="0"/>
    <n v="4000"/>
  </r>
  <r>
    <s v="15-02-2026"/>
    <x v="10"/>
    <n v="0"/>
    <x v="191"/>
    <x v="2"/>
    <s v="Rent payment"/>
    <n v="-4452"/>
    <x v="11"/>
    <x v="2"/>
    <n v="15000"/>
  </r>
  <r>
    <s v="20-10-2026"/>
    <x v="7"/>
    <n v="37241"/>
    <x v="0"/>
    <x v="2"/>
    <s v="Bonus received"/>
    <n v="37241"/>
    <x v="4"/>
    <x v="2"/>
    <n v="0"/>
  </r>
  <r>
    <s v="09-01-2026"/>
    <x v="10"/>
    <n v="0"/>
    <x v="192"/>
    <x v="2"/>
    <s v="Rent payment"/>
    <n v="-11155"/>
    <x v="6"/>
    <x v="2"/>
    <n v="15000"/>
  </r>
  <r>
    <s v="30-11-2024"/>
    <x v="3"/>
    <n v="0"/>
    <x v="193"/>
    <x v="1"/>
    <s v="Shopping payment"/>
    <n v="-18860"/>
    <x v="9"/>
    <x v="1"/>
    <n v="8000"/>
  </r>
  <r>
    <s v="23-02-2025"/>
    <x v="6"/>
    <n v="0"/>
    <x v="194"/>
    <x v="4"/>
    <s v="Transport payment"/>
    <n v="-22148"/>
    <x v="11"/>
    <x v="3"/>
    <n v="3000"/>
  </r>
  <r>
    <s v="16-01-2026"/>
    <x v="5"/>
    <n v="0"/>
    <x v="195"/>
    <x v="0"/>
    <s v="Groceries payment"/>
    <n v="-17083"/>
    <x v="6"/>
    <x v="2"/>
    <n v="7000"/>
  </r>
  <r>
    <s v="27-08-2026"/>
    <x v="9"/>
    <n v="0"/>
    <x v="196"/>
    <x v="2"/>
    <s v="Medical payment"/>
    <n v="-7043"/>
    <x v="2"/>
    <x v="2"/>
    <n v="2500"/>
  </r>
  <r>
    <s v="13-04-2025"/>
    <x v="2"/>
    <n v="15720"/>
    <x v="0"/>
    <x v="2"/>
    <s v="Freelance received"/>
    <n v="15720"/>
    <x v="3"/>
    <x v="3"/>
    <n v="0"/>
  </r>
  <r>
    <s v="21-06-2026"/>
    <x v="6"/>
    <n v="0"/>
    <x v="197"/>
    <x v="2"/>
    <s v="Transport payment"/>
    <n v="-23398"/>
    <x v="10"/>
    <x v="2"/>
    <n v="3000"/>
  </r>
  <r>
    <s v="12-03-2026"/>
    <x v="6"/>
    <n v="0"/>
    <x v="198"/>
    <x v="2"/>
    <s v="Transport payment"/>
    <n v="-6423"/>
    <x v="0"/>
    <x v="2"/>
    <n v="3000"/>
  </r>
  <r>
    <s v="28-04-2023"/>
    <x v="11"/>
    <n v="54244"/>
    <x v="0"/>
    <x v="4"/>
    <s v="Interest received"/>
    <n v="54244"/>
    <x v="3"/>
    <x v="0"/>
    <n v="6000"/>
  </r>
  <r>
    <s v="23-07-2023"/>
    <x v="3"/>
    <n v="0"/>
    <x v="199"/>
    <x v="3"/>
    <s v="Shopping payment"/>
    <n v="-12160"/>
    <x v="8"/>
    <x v="0"/>
    <n v="8000"/>
  </r>
  <r>
    <s v="11-03-2026"/>
    <x v="0"/>
    <n v="33642"/>
    <x v="0"/>
    <x v="3"/>
    <s v="Salary received"/>
    <n v="33642"/>
    <x v="0"/>
    <x v="2"/>
    <n v="0"/>
  </r>
  <r>
    <s v="22-05-2026"/>
    <x v="1"/>
    <n v="0"/>
    <x v="200"/>
    <x v="2"/>
    <s v="Utilities payment"/>
    <n v="-16713"/>
    <x v="1"/>
    <x v="2"/>
    <n v="4000"/>
  </r>
  <r>
    <s v="23-12-2026"/>
    <x v="7"/>
    <n v="31211"/>
    <x v="0"/>
    <x v="0"/>
    <s v="Bonus received"/>
    <n v="31211"/>
    <x v="5"/>
    <x v="2"/>
    <n v="0"/>
  </r>
  <r>
    <s v="07-06-2023"/>
    <x v="1"/>
    <n v="0"/>
    <x v="201"/>
    <x v="2"/>
    <s v="Utilities payment"/>
    <n v="-4362"/>
    <x v="10"/>
    <x v="0"/>
    <n v="4000"/>
  </r>
  <r>
    <s v="26-08-2024"/>
    <x v="11"/>
    <n v="70030"/>
    <x v="0"/>
    <x v="1"/>
    <s v="Interest received"/>
    <n v="70030"/>
    <x v="2"/>
    <x v="1"/>
    <n v="6000"/>
  </r>
  <r>
    <s v="14-02-2026"/>
    <x v="7"/>
    <n v="33321"/>
    <x v="0"/>
    <x v="4"/>
    <s v="Bonus received"/>
    <n v="33321"/>
    <x v="11"/>
    <x v="2"/>
    <n v="0"/>
  </r>
  <r>
    <s v="10-05-2025"/>
    <x v="7"/>
    <n v="20644"/>
    <x v="0"/>
    <x v="4"/>
    <s v="Bonus received"/>
    <n v="20644"/>
    <x v="1"/>
    <x v="3"/>
    <n v="0"/>
  </r>
  <r>
    <s v="13-07-2026"/>
    <x v="6"/>
    <n v="0"/>
    <x v="202"/>
    <x v="0"/>
    <s v="Transport payment"/>
    <n v="-19782"/>
    <x v="8"/>
    <x v="2"/>
    <n v="3000"/>
  </r>
  <r>
    <s v="01-06-2024"/>
    <x v="0"/>
    <n v="47544"/>
    <x v="0"/>
    <x v="0"/>
    <s v="Salary received"/>
    <n v="47544"/>
    <x v="10"/>
    <x v="1"/>
    <n v="0"/>
  </r>
  <r>
    <s v="25-05-2025"/>
    <x v="11"/>
    <n v="72703"/>
    <x v="0"/>
    <x v="1"/>
    <s v="Interest received"/>
    <n v="72703"/>
    <x v="1"/>
    <x v="3"/>
    <n v="6000"/>
  </r>
  <r>
    <s v="02-09-2023"/>
    <x v="1"/>
    <n v="0"/>
    <x v="203"/>
    <x v="3"/>
    <s v="Utilities payment"/>
    <n v="-2471"/>
    <x v="7"/>
    <x v="0"/>
    <n v="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0"/>
    <n v="0"/>
    <n v="0"/>
  </r>
  <r>
    <x v="1"/>
    <n v="450000"/>
    <n v="406346"/>
    <n v="43654"/>
  </r>
  <r>
    <x v="2"/>
    <n v="0"/>
    <n v="0"/>
    <n v="0"/>
  </r>
  <r>
    <x v="3"/>
    <n v="400000"/>
    <n v="331840"/>
    <n v="68160"/>
  </r>
  <r>
    <x v="4"/>
    <n v="250000"/>
    <n v="292630"/>
    <n v="-42630"/>
  </r>
  <r>
    <x v="5"/>
    <n v="460000"/>
    <n v="428630"/>
    <n v="31370"/>
  </r>
  <r>
    <x v="6"/>
    <n v="300000"/>
    <n v="312746"/>
    <n v="-12746"/>
  </r>
  <r>
    <x v="7"/>
    <n v="0"/>
    <n v="0"/>
    <n v="0"/>
  </r>
  <r>
    <x v="8"/>
    <n v="270000"/>
    <n v="211569"/>
    <n v="58431"/>
  </r>
  <r>
    <x v="9"/>
    <n v="300000"/>
    <n v="347627"/>
    <n v="-47627"/>
  </r>
  <r>
    <x v="10"/>
    <n v="240000"/>
    <n v="284502"/>
    <n v="-44502"/>
  </r>
  <r>
    <x v="11"/>
    <n v="100000"/>
    <n v="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19070C-93C4-435A-A26E-B883F2424F56}" name="Expense_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H14" firstHeaderRow="1" firstDataRow="1" firstDataCol="1"/>
  <pivotFields count="10">
    <pivotField showAll="0"/>
    <pivotField axis="axisRow"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Expense" fld="3" baseField="0" baseItem="0"/>
  </dataFields>
  <chartFormats count="13">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 count="1" selected="0">
            <x v="0"/>
          </reference>
        </references>
      </pivotArea>
    </chartFormat>
    <chartFormat chart="2" format="16">
      <pivotArea type="data" outline="0" fieldPosition="0">
        <references count="2">
          <reference field="4294967294" count="1" selected="0">
            <x v="0"/>
          </reference>
          <reference field="1" count="1" selected="0">
            <x v="1"/>
          </reference>
        </references>
      </pivotArea>
    </chartFormat>
    <chartFormat chart="2" format="17">
      <pivotArea type="data" outline="0" fieldPosition="0">
        <references count="2">
          <reference field="4294967294" count="1" selected="0">
            <x v="0"/>
          </reference>
          <reference field="1" count="1" selected="0">
            <x v="2"/>
          </reference>
        </references>
      </pivotArea>
    </chartFormat>
    <chartFormat chart="2" format="18">
      <pivotArea type="data" outline="0" fieldPosition="0">
        <references count="2">
          <reference field="4294967294" count="1" selected="0">
            <x v="0"/>
          </reference>
          <reference field="1" count="1" selected="0">
            <x v="3"/>
          </reference>
        </references>
      </pivotArea>
    </chartFormat>
    <chartFormat chart="2" format="19">
      <pivotArea type="data" outline="0" fieldPosition="0">
        <references count="2">
          <reference field="4294967294" count="1" selected="0">
            <x v="0"/>
          </reference>
          <reference field="1" count="1" selected="0">
            <x v="4"/>
          </reference>
        </references>
      </pivotArea>
    </chartFormat>
    <chartFormat chart="2" format="20">
      <pivotArea type="data" outline="0" fieldPosition="0">
        <references count="2">
          <reference field="4294967294" count="1" selected="0">
            <x v="0"/>
          </reference>
          <reference field="1" count="1" selected="0">
            <x v="5"/>
          </reference>
        </references>
      </pivotArea>
    </chartFormat>
    <chartFormat chart="2" format="21">
      <pivotArea type="data" outline="0" fieldPosition="0">
        <references count="2">
          <reference field="4294967294" count="1" selected="0">
            <x v="0"/>
          </reference>
          <reference field="1" count="1" selected="0">
            <x v="6"/>
          </reference>
        </references>
      </pivotArea>
    </chartFormat>
    <chartFormat chart="2" format="22">
      <pivotArea type="data" outline="0" fieldPosition="0">
        <references count="2">
          <reference field="4294967294" count="1" selected="0">
            <x v="0"/>
          </reference>
          <reference field="1" count="1" selected="0">
            <x v="7"/>
          </reference>
        </references>
      </pivotArea>
    </chartFormat>
    <chartFormat chart="2" format="23">
      <pivotArea type="data" outline="0" fieldPosition="0">
        <references count="2">
          <reference field="4294967294" count="1" selected="0">
            <x v="0"/>
          </reference>
          <reference field="1" count="1" selected="0">
            <x v="8"/>
          </reference>
        </references>
      </pivotArea>
    </chartFormat>
    <chartFormat chart="2" format="24">
      <pivotArea type="data" outline="0" fieldPosition="0">
        <references count="2">
          <reference field="4294967294" count="1" selected="0">
            <x v="0"/>
          </reference>
          <reference field="1" count="1" selected="0">
            <x v="9"/>
          </reference>
        </references>
      </pivotArea>
    </chartFormat>
    <chartFormat chart="2" format="25">
      <pivotArea type="data" outline="0" fieldPosition="0">
        <references count="2">
          <reference field="4294967294" count="1" selected="0">
            <x v="0"/>
          </reference>
          <reference field="1" count="1" selected="0">
            <x v="10"/>
          </reference>
        </references>
      </pivotArea>
    </chartFormat>
    <chartFormat chart="2" format="26">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CCA4B2-78D2-449F-9DF0-2B19BD4A7F60}" name="Income Vs  Expen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14" firstHeaderRow="0" firstDataRow="1" firstDataCol="1"/>
  <pivotFields count="10">
    <pivotField showAll="0"/>
    <pivotField showAll="0">
      <items count="13">
        <item x="7"/>
        <item x="8"/>
        <item x="4"/>
        <item x="2"/>
        <item x="5"/>
        <item x="11"/>
        <item x="9"/>
        <item x="10"/>
        <item x="0"/>
        <item x="3"/>
        <item x="6"/>
        <item x="1"/>
        <item t="default"/>
      </items>
    </pivotField>
    <pivotField dataField="1"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2" baseField="0" baseItem="0"/>
    <dataField name="Sum of Expense" fld="3"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35664B-BF1A-464C-9608-68CB28E67660}" name="Budget Vs Actual"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1:R14" firstHeaderRow="0" firstDataRow="1" firstDataCol="1"/>
  <pivotFields count="4">
    <pivotField axis="axisRow" showAll="0">
      <items count="13">
        <item x="7"/>
        <item x="8"/>
        <item x="4"/>
        <item x="2"/>
        <item x="5"/>
        <item x="11"/>
        <item x="9"/>
        <item x="10"/>
        <item x="0"/>
        <item x="3"/>
        <item x="6"/>
        <item x="1"/>
        <item t="default"/>
      </items>
    </pivotField>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Budget" fld="1" baseField="0" baseItem="0"/>
    <dataField name="Sum of Actual" fld="2" baseField="0" baseItem="0"/>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23E433-D469-4520-948E-C1994A23E387}" name="Expense_Tren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K1:L13" firstHeaderRow="1" firstDataRow="1" firstDataCol="1"/>
  <pivotFields count="10">
    <pivotField showAll="0"/>
    <pivotField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2">
    <i>
      <x/>
    </i>
    <i>
      <x v="1"/>
    </i>
    <i>
      <x v="2"/>
    </i>
    <i>
      <x v="3"/>
    </i>
    <i>
      <x v="4"/>
    </i>
    <i>
      <x v="5"/>
    </i>
    <i>
      <x v="6"/>
    </i>
    <i>
      <x v="7"/>
    </i>
    <i>
      <x v="8"/>
    </i>
    <i>
      <x v="9"/>
    </i>
    <i>
      <x v="10"/>
    </i>
    <i>
      <x v="11"/>
    </i>
  </rowItems>
  <colItems count="1">
    <i/>
  </colItems>
  <dataFields count="1">
    <dataField name="Expenses" fld="3" baseField="7"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6DA407C-4A7E-4566-967A-CF6B8BADC5D1}" sourceName="Category">
  <pivotTables>
    <pivotTable tabId="19" name="Income Vs  Expense"/>
    <pivotTable tabId="19" name="Expense_Breakdown"/>
    <pivotTable tabId="19" name="Expense_Trend"/>
  </pivotTables>
  <data>
    <tabular pivotCacheId="1171667078">
      <items count="12">
        <i x="7" s="1"/>
        <i x="8" s="1"/>
        <i x="4" s="1"/>
        <i x="2" s="1"/>
        <i x="5" s="1"/>
        <i x="11" s="1"/>
        <i x="9" s="1"/>
        <i x="10" s="1"/>
        <i x="0" s="1"/>
        <i x="3"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74E0BE3-17A0-4448-AB54-A754D313EC17}" sourceName="Payment Method">
  <pivotTables>
    <pivotTable tabId="19" name="Income Vs  Expense"/>
    <pivotTable tabId="19" name="Expense_Breakdown"/>
    <pivotTable tabId="19" name="Expense_Trend"/>
  </pivotTables>
  <data>
    <tabular pivotCacheId="1171667078" sortOrder="descending">
      <items count="5">
        <i x="4" s="1"/>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81F19D-B71B-4569-A9F4-8AFF8E4C5679}" sourceName="Month">
  <pivotTables>
    <pivotTable tabId="19" name="Income Vs  Expense"/>
    <pivotTable tabId="19" name="Expense_Breakdown"/>
    <pivotTable tabId="19" name="Expense_Trend"/>
  </pivotTables>
  <data>
    <tabular pivotCacheId="1171667078">
      <items count="12">
        <i x="6" s="1"/>
        <i x="11" s="1"/>
        <i x="0" s="1"/>
        <i x="3" s="1"/>
        <i x="1" s="1"/>
        <i x="10" s="1"/>
        <i x="8" s="1"/>
        <i x="2" s="1"/>
        <i x="7" s="1"/>
        <i x="4" s="1"/>
        <i x="9"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1739CA2-6ADD-4AF8-A9E6-65EB664CD85B}" sourceName="Year">
  <pivotTables>
    <pivotTable tabId="19" name="Income Vs  Expense"/>
    <pivotTable tabId="19" name="Expense_Breakdown"/>
    <pivotTable tabId="19" name="Expense_Trend"/>
  </pivotTables>
  <data>
    <tabular pivotCacheId="1171667078">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8371B41-D2B8-49FC-A5B7-5042756E470D}" cache="Slicer_Category" caption="Category" startItem="8" style="SlicerStyleLight2" rowHeight="241300"/>
  <slicer name="Payment Method" xr10:uid="{120AF82B-6C8F-4135-B76D-102BC03A6521}" cache="Slicer_Payment_Method" caption="Payment Method" rowHeight="241300"/>
  <slicer name="Month" xr10:uid="{7408C54C-1D77-43FC-B6FB-5833E01710FE}" cache="Slicer_Month" caption="Month" startItem="6" rowHeight="241300"/>
  <slicer name="Year" xr10:uid="{3CDA2E98-3FCF-4CE2-82A4-793E0965E49F}" cache="Slicer_Year" caption="Year"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A83A75-F468-4283-88A2-6A530D2A7A3F}" name="Table2" displayName="Table2" ref="A1:J301" totalsRowShown="0" headerRowDxfId="50" dataDxfId="49">
  <autoFilter ref="A1:J301" xr:uid="{2BA83A75-F468-4283-88A2-6A530D2A7A3F}"/>
  <tableColumns count="10">
    <tableColumn id="1" xr3:uid="{124F9926-42B8-4AEB-B061-F011E4675840}" name="Date" dataDxfId="48"/>
    <tableColumn id="2" xr3:uid="{48F0ABA2-3E99-4315-A42E-37FE406CD1E1}" name="Category" dataDxfId="47"/>
    <tableColumn id="3" xr3:uid="{75D57D21-3753-45D7-A9AB-2FE554DA09FE}" name="Income" dataDxfId="46"/>
    <tableColumn id="4" xr3:uid="{ED9581FF-B43A-4C16-A5B4-708A2398A72B}" name="Expense" dataDxfId="45"/>
    <tableColumn id="5" xr3:uid="{CEC51033-7DBF-4FE7-8593-F72108D109AC}" name="Payment Method" dataDxfId="44"/>
    <tableColumn id="6" xr3:uid="{C928D873-580E-4D2C-AA3A-C0342138AD3F}" name="Description" dataDxfId="43"/>
    <tableColumn id="7" xr3:uid="{2EE9F67B-458F-4C6D-825D-50E689056463}" name="Balance" dataDxfId="42">
      <calculatedColumnFormula>Table2[[#This Row],[Income]]-Table2[[#This Row],[Expense]]</calculatedColumnFormula>
    </tableColumn>
    <tableColumn id="8" xr3:uid="{ED5BA65A-F364-48B4-81CD-31434413863F}" name="Month" dataDxfId="41">
      <calculatedColumnFormula>TEXT(Table2[[#This Row],[Date]],"MMM")</calculatedColumnFormula>
    </tableColumn>
    <tableColumn id="9" xr3:uid="{658A5A16-2F76-4E4F-83F4-7F1115C0AFB0}" name="Year" dataDxfId="40">
      <calculatedColumnFormula>YEAR(Table2[[#This Row],[Date]])</calculatedColumnFormula>
    </tableColumn>
    <tableColumn id="10" xr3:uid="{3E34BF5C-0D12-41DD-909B-C1285D281A31}" name="Budget" dataDxfId="39">
      <calculatedColumnFormula>IFERROR(VLOOKUP(B:B,tbl_budget,2,FALSE),0)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615803-11DC-4B16-ADEC-01F7EACDFCA4}" name="Table3" displayName="Table3" ref="A1:D13" totalsRowShown="0">
  <autoFilter ref="A1:D13" xr:uid="{2B615803-11DC-4B16-ADEC-01F7EACDFCA4}"/>
  <tableColumns count="4">
    <tableColumn id="1" xr3:uid="{8C0F5A4A-D2C7-4C10-B675-BCBBC0E8F972}" name="Category" dataDxfId="38"/>
    <tableColumn id="2" xr3:uid="{0900D540-66E5-4E83-8E9C-CCC2EAC043ED}" name="Budget"/>
    <tableColumn id="3" xr3:uid="{D98A3D81-881C-4E20-A920-F99553FBFA45}" name="Actual" dataDxfId="37">
      <calculatedColumnFormula>SUMIFS(Financial_Data!D:D,Financial_Data!B:B,Table3[[#This Row],[Category]])</calculatedColumnFormula>
    </tableColumn>
    <tableColumn id="4" xr3:uid="{00BFAACE-BBAF-4177-90A9-9922A75BE439}" name="Variance" dataDxfId="36">
      <calculatedColumnFormula>Table3[[#This Row],[Budget]]-Table3[[#This Row],[Actual]]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A1E9F2-5DF1-4941-8EC4-9E13FE031C0E}" name="Table36" displayName="Table36" ref="M22:P34" totalsRowShown="0" headerRowDxfId="35" dataDxfId="34">
  <autoFilter ref="M22:P34" xr:uid="{06A1E9F2-5DF1-4941-8EC4-9E13FE031C0E}"/>
  <tableColumns count="4">
    <tableColumn id="1" xr3:uid="{31BC1570-8F15-4DB0-B6B5-0F23A54F2733}" name="Category" dataDxfId="33"/>
    <tableColumn id="2" xr3:uid="{6AA0D1B8-64D3-4DF5-836F-5EC79F9D2C12}" name="Budget" dataDxfId="32"/>
    <tableColumn id="3" xr3:uid="{67C70C8D-92F6-4782-9F1B-A532BC174AAA}" name="Actual" dataDxfId="0">
      <calculatedColumnFormula>SUMIFS(Financial_Data!D:D,Financial_Data!B:B,Table36[[#This Row],[Category]])</calculatedColumnFormula>
    </tableColumn>
    <tableColumn id="4" xr3:uid="{A24A4CED-9B85-43CF-9A2C-890CBA9C92DF}" name="Variance" dataDxfId="31">
      <calculatedColumnFormula>Table36[[#This Row],[Budget]]-Table36[[#This Row],[Actual]]</calculatedColumnFormula>
    </tableColumn>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060C-F29A-4514-95DC-2A73AA97164B}">
  <dimension ref="A1:J301"/>
  <sheetViews>
    <sheetView workbookViewId="0">
      <selection activeCell="J2" sqref="J2"/>
    </sheetView>
  </sheetViews>
  <sheetFormatPr defaultRowHeight="14.5" x14ac:dyDescent="0.35"/>
  <cols>
    <col min="1" max="1" width="10.08984375" bestFit="1" customWidth="1"/>
    <col min="2" max="2" width="12.90625" bestFit="1" customWidth="1"/>
    <col min="3" max="3" width="9" customWidth="1"/>
    <col min="4" max="4" width="9.7265625" customWidth="1"/>
    <col min="5" max="5" width="17.453125" customWidth="1"/>
    <col min="6" max="6" width="20.81640625" bestFit="1" customWidth="1"/>
    <col min="7" max="7" width="11.81640625" bestFit="1" customWidth="1"/>
  </cols>
  <sheetData>
    <row r="1" spans="1:10" x14ac:dyDescent="0.35">
      <c r="A1" s="3" t="s">
        <v>0</v>
      </c>
      <c r="B1" s="3" t="s">
        <v>1</v>
      </c>
      <c r="C1" s="3" t="s">
        <v>2</v>
      </c>
      <c r="D1" s="3" t="s">
        <v>3</v>
      </c>
      <c r="E1" s="3" t="s">
        <v>4</v>
      </c>
      <c r="F1" s="3" t="s">
        <v>5</v>
      </c>
      <c r="G1" s="3" t="s">
        <v>6</v>
      </c>
      <c r="H1" s="3" t="s">
        <v>19</v>
      </c>
      <c r="I1" s="3" t="s">
        <v>99</v>
      </c>
      <c r="J1" s="3" t="s">
        <v>18</v>
      </c>
    </row>
    <row r="2" spans="1:10" x14ac:dyDescent="0.35">
      <c r="A2" s="3" t="s">
        <v>100</v>
      </c>
      <c r="B2" s="3" t="s">
        <v>8</v>
      </c>
      <c r="C2" s="3">
        <v>57613</v>
      </c>
      <c r="D2" s="3">
        <v>0</v>
      </c>
      <c r="E2" s="3" t="s">
        <v>95</v>
      </c>
      <c r="F2" s="3" t="s">
        <v>87</v>
      </c>
      <c r="G2" s="3">
        <f>Table2[[#This Row],[Income]]-Table2[[#This Row],[Expense]]</f>
        <v>57613</v>
      </c>
      <c r="H2" s="3" t="str">
        <f>TEXT(Table2[[#This Row],[Date]],"MMM")</f>
        <v>Mar</v>
      </c>
      <c r="I2" s="3">
        <f>YEAR(Table2[[#This Row],[Date]])</f>
        <v>2023</v>
      </c>
      <c r="J2" s="3">
        <f t="shared" ref="J2:J65" si="0">IFERROR(VLOOKUP(B:B,tbl_budget,2,FALSE),0)</f>
        <v>0</v>
      </c>
    </row>
    <row r="3" spans="1:10" x14ac:dyDescent="0.35">
      <c r="A3" s="3" t="s">
        <v>101</v>
      </c>
      <c r="B3" s="3" t="s">
        <v>10</v>
      </c>
      <c r="C3" s="3">
        <v>0</v>
      </c>
      <c r="D3" s="3">
        <v>5064</v>
      </c>
      <c r="E3" s="3" t="s">
        <v>9</v>
      </c>
      <c r="F3" s="3" t="s">
        <v>94</v>
      </c>
      <c r="G3" s="3">
        <f>Table2[[#This Row],[Income]]-Table2[[#This Row],[Expense]]</f>
        <v>-5064</v>
      </c>
      <c r="H3" s="3" t="str">
        <f>TEXT(Table2[[#This Row],[Date]],"MMM")</f>
        <v>May</v>
      </c>
      <c r="I3" s="3">
        <f>YEAR(Table2[[#This Row],[Date]])</f>
        <v>2024</v>
      </c>
      <c r="J3" s="3">
        <f t="shared" si="0"/>
        <v>450000</v>
      </c>
    </row>
    <row r="4" spans="1:10" x14ac:dyDescent="0.35">
      <c r="A4" s="3" t="s">
        <v>102</v>
      </c>
      <c r="B4" s="3" t="s">
        <v>13</v>
      </c>
      <c r="C4" s="3">
        <v>42895</v>
      </c>
      <c r="D4" s="3">
        <v>0</v>
      </c>
      <c r="E4" s="3" t="s">
        <v>95</v>
      </c>
      <c r="F4" s="3" t="s">
        <v>88</v>
      </c>
      <c r="G4" s="3">
        <f>Table2[[#This Row],[Income]]-Table2[[#This Row],[Expense]]</f>
        <v>42895</v>
      </c>
      <c r="H4" s="3" t="str">
        <f>TEXT(Table2[[#This Row],[Date]],"MMM")</f>
        <v>Aug</v>
      </c>
      <c r="I4" s="3">
        <f>YEAR(Table2[[#This Row],[Date]])</f>
        <v>2024</v>
      </c>
      <c r="J4" s="3">
        <f t="shared" si="0"/>
        <v>0</v>
      </c>
    </row>
    <row r="5" spans="1:10" x14ac:dyDescent="0.35">
      <c r="A5" s="3" t="s">
        <v>103</v>
      </c>
      <c r="B5" s="3" t="s">
        <v>13</v>
      </c>
      <c r="C5" s="3">
        <v>61755</v>
      </c>
      <c r="D5" s="3">
        <v>0</v>
      </c>
      <c r="E5" s="3" t="s">
        <v>95</v>
      </c>
      <c r="F5" s="3" t="s">
        <v>88</v>
      </c>
      <c r="G5" s="3">
        <f>Table2[[#This Row],[Income]]-Table2[[#This Row],[Expense]]</f>
        <v>61755</v>
      </c>
      <c r="H5" s="3" t="str">
        <f>TEXT(Table2[[#This Row],[Date]],"MMM")</f>
        <v>Apr</v>
      </c>
      <c r="I5" s="3">
        <f>YEAR(Table2[[#This Row],[Date]])</f>
        <v>2023</v>
      </c>
      <c r="J5" s="3">
        <f t="shared" si="0"/>
        <v>0</v>
      </c>
    </row>
    <row r="6" spans="1:10" x14ac:dyDescent="0.35">
      <c r="A6" s="3" t="s">
        <v>104</v>
      </c>
      <c r="B6" s="3" t="s">
        <v>20</v>
      </c>
      <c r="C6" s="3">
        <v>0</v>
      </c>
      <c r="D6" s="3">
        <v>20220</v>
      </c>
      <c r="E6" s="3" t="s">
        <v>81</v>
      </c>
      <c r="F6" s="3" t="s">
        <v>96</v>
      </c>
      <c r="G6" s="3">
        <f>Table2[[#This Row],[Income]]-Table2[[#This Row],[Expense]]</f>
        <v>-20220</v>
      </c>
      <c r="H6" s="3" t="str">
        <f>TEXT(Table2[[#This Row],[Date]],"MMM")</f>
        <v>Oct</v>
      </c>
      <c r="I6" s="3">
        <f>YEAR(Table2[[#This Row],[Date]])</f>
        <v>2024</v>
      </c>
      <c r="J6" s="3">
        <f t="shared" si="0"/>
        <v>400000</v>
      </c>
    </row>
    <row r="7" spans="1:10" x14ac:dyDescent="0.35">
      <c r="A7" s="3" t="s">
        <v>105</v>
      </c>
      <c r="B7" s="3" t="s">
        <v>14</v>
      </c>
      <c r="C7" s="3">
        <v>0</v>
      </c>
      <c r="D7" s="3">
        <v>18753</v>
      </c>
      <c r="E7" s="3" t="s">
        <v>9</v>
      </c>
      <c r="F7" s="3" t="s">
        <v>90</v>
      </c>
      <c r="G7" s="3">
        <f>Table2[[#This Row],[Income]]-Table2[[#This Row],[Expense]]</f>
        <v>-18753</v>
      </c>
      <c r="H7" s="3" t="str">
        <f>TEXT(Table2[[#This Row],[Date]],"MMM")</f>
        <v>Mar</v>
      </c>
      <c r="I7" s="3">
        <f>YEAR(Table2[[#This Row],[Date]])</f>
        <v>2023</v>
      </c>
      <c r="J7" s="3">
        <f t="shared" si="0"/>
        <v>250000</v>
      </c>
    </row>
    <row r="8" spans="1:10" x14ac:dyDescent="0.35">
      <c r="A8" s="3" t="s">
        <v>106</v>
      </c>
      <c r="B8" s="3" t="s">
        <v>91</v>
      </c>
      <c r="C8" s="3">
        <v>0</v>
      </c>
      <c r="D8" s="3">
        <v>3914</v>
      </c>
      <c r="E8" s="3" t="s">
        <v>89</v>
      </c>
      <c r="F8" s="3" t="s">
        <v>92</v>
      </c>
      <c r="G8" s="3">
        <f>Table2[[#This Row],[Income]]-Table2[[#This Row],[Expense]]</f>
        <v>-3914</v>
      </c>
      <c r="H8" s="3" t="str">
        <f>TEXT(Table2[[#This Row],[Date]],"MMM")</f>
        <v>Dec</v>
      </c>
      <c r="I8" s="3">
        <f>YEAR(Table2[[#This Row],[Date]])</f>
        <v>2023</v>
      </c>
      <c r="J8" s="3">
        <f t="shared" si="0"/>
        <v>460000</v>
      </c>
    </row>
    <row r="9" spans="1:10" x14ac:dyDescent="0.35">
      <c r="A9" s="3" t="s">
        <v>107</v>
      </c>
      <c r="B9" s="3" t="s">
        <v>22</v>
      </c>
      <c r="C9" s="3">
        <v>0</v>
      </c>
      <c r="D9" s="3">
        <v>16023</v>
      </c>
      <c r="E9" s="3" t="s">
        <v>89</v>
      </c>
      <c r="F9" s="3" t="s">
        <v>98</v>
      </c>
      <c r="G9" s="3">
        <f>Table2[[#This Row],[Income]]-Table2[[#This Row],[Expense]]</f>
        <v>-16023</v>
      </c>
      <c r="H9" s="3" t="str">
        <f>TEXT(Table2[[#This Row],[Date]],"MMM")</f>
        <v>Oct</v>
      </c>
      <c r="I9" s="3">
        <f>YEAR(Table2[[#This Row],[Date]])</f>
        <v>2026</v>
      </c>
      <c r="J9" s="3">
        <f t="shared" si="0"/>
        <v>300000</v>
      </c>
    </row>
    <row r="10" spans="1:10" x14ac:dyDescent="0.35">
      <c r="A10" s="3" t="s">
        <v>26</v>
      </c>
      <c r="B10" s="3" t="s">
        <v>20</v>
      </c>
      <c r="C10" s="3">
        <v>0</v>
      </c>
      <c r="D10" s="3">
        <v>11085</v>
      </c>
      <c r="E10" s="3" t="s">
        <v>89</v>
      </c>
      <c r="F10" s="3" t="s">
        <v>96</v>
      </c>
      <c r="G10" s="3">
        <f>Table2[[#This Row],[Income]]-Table2[[#This Row],[Expense]]</f>
        <v>-11085</v>
      </c>
      <c r="H10" s="3" t="str">
        <f>TEXT(Table2[[#This Row],[Date]],"MMM")</f>
        <v>Jan</v>
      </c>
      <c r="I10" s="3">
        <f>YEAR(Table2[[#This Row],[Date]])</f>
        <v>2025</v>
      </c>
      <c r="J10" s="3">
        <f t="shared" si="0"/>
        <v>400000</v>
      </c>
    </row>
    <row r="11" spans="1:10" x14ac:dyDescent="0.35">
      <c r="A11" s="3" t="s">
        <v>108</v>
      </c>
      <c r="B11" s="3" t="s">
        <v>7</v>
      </c>
      <c r="C11" s="3">
        <v>69111</v>
      </c>
      <c r="D11" s="3">
        <v>0</v>
      </c>
      <c r="E11" s="3" t="s">
        <v>12</v>
      </c>
      <c r="F11" s="3" t="s">
        <v>97</v>
      </c>
      <c r="G11" s="3">
        <f>Table2[[#This Row],[Income]]-Table2[[#This Row],[Expense]]</f>
        <v>69111</v>
      </c>
      <c r="H11" s="3" t="str">
        <f>TEXT(Table2[[#This Row],[Date]],"MMM")</f>
        <v>Sep</v>
      </c>
      <c r="I11" s="3">
        <f>YEAR(Table2[[#This Row],[Date]])</f>
        <v>2023</v>
      </c>
      <c r="J11" s="3">
        <f t="shared" si="0"/>
        <v>0</v>
      </c>
    </row>
    <row r="12" spans="1:10" x14ac:dyDescent="0.35">
      <c r="A12" s="3" t="s">
        <v>109</v>
      </c>
      <c r="B12" s="3" t="s">
        <v>8</v>
      </c>
      <c r="C12" s="3">
        <v>9468</v>
      </c>
      <c r="D12" s="3">
        <v>0</v>
      </c>
      <c r="E12" s="3" t="s">
        <v>81</v>
      </c>
      <c r="F12" s="3" t="s">
        <v>87</v>
      </c>
      <c r="G12" s="3">
        <f>Table2[[#This Row],[Income]]-Table2[[#This Row],[Expense]]</f>
        <v>9468</v>
      </c>
      <c r="H12" s="3" t="str">
        <f>TEXT(Table2[[#This Row],[Date]],"MMM")</f>
        <v>May</v>
      </c>
      <c r="I12" s="3">
        <f>YEAR(Table2[[#This Row],[Date]])</f>
        <v>2024</v>
      </c>
      <c r="J12" s="3">
        <f t="shared" si="0"/>
        <v>0</v>
      </c>
    </row>
    <row r="13" spans="1:10" x14ac:dyDescent="0.35">
      <c r="A13" s="3" t="s">
        <v>110</v>
      </c>
      <c r="B13" s="3" t="s">
        <v>14</v>
      </c>
      <c r="C13" s="3">
        <v>0</v>
      </c>
      <c r="D13" s="3">
        <v>11273</v>
      </c>
      <c r="E13" s="3" t="s">
        <v>12</v>
      </c>
      <c r="F13" s="3" t="s">
        <v>90</v>
      </c>
      <c r="G13" s="3">
        <f>Table2[[#This Row],[Income]]-Table2[[#This Row],[Expense]]</f>
        <v>-11273</v>
      </c>
      <c r="H13" s="3" t="str">
        <f>TEXT(Table2[[#This Row],[Date]],"MMM")</f>
        <v>Sep</v>
      </c>
      <c r="I13" s="3">
        <f>YEAR(Table2[[#This Row],[Date]])</f>
        <v>2024</v>
      </c>
      <c r="J13" s="3">
        <f t="shared" si="0"/>
        <v>250000</v>
      </c>
    </row>
    <row r="14" spans="1:10" x14ac:dyDescent="0.35">
      <c r="A14" s="3" t="s">
        <v>40</v>
      </c>
      <c r="B14" s="3" t="s">
        <v>8</v>
      </c>
      <c r="C14" s="3">
        <v>68076</v>
      </c>
      <c r="D14" s="3">
        <v>0</v>
      </c>
      <c r="E14" s="3" t="s">
        <v>89</v>
      </c>
      <c r="F14" s="3" t="s">
        <v>87</v>
      </c>
      <c r="G14" s="3">
        <f>Table2[[#This Row],[Income]]-Table2[[#This Row],[Expense]]</f>
        <v>68076</v>
      </c>
      <c r="H14" s="3" t="str">
        <f>TEXT(Table2[[#This Row],[Date]],"MMM")</f>
        <v>Mar</v>
      </c>
      <c r="I14" s="3">
        <f>YEAR(Table2[[#This Row],[Date]])</f>
        <v>2025</v>
      </c>
      <c r="J14" s="3">
        <f t="shared" si="0"/>
        <v>0</v>
      </c>
    </row>
    <row r="15" spans="1:10" x14ac:dyDescent="0.35">
      <c r="A15" s="3" t="s">
        <v>111</v>
      </c>
      <c r="B15" s="3" t="s">
        <v>10</v>
      </c>
      <c r="C15" s="3">
        <v>0</v>
      </c>
      <c r="D15" s="3">
        <v>11314</v>
      </c>
      <c r="E15" s="3" t="s">
        <v>95</v>
      </c>
      <c r="F15" s="3" t="s">
        <v>94</v>
      </c>
      <c r="G15" s="3">
        <f>Table2[[#This Row],[Income]]-Table2[[#This Row],[Expense]]</f>
        <v>-11314</v>
      </c>
      <c r="H15" s="3" t="str">
        <f>TEXT(Table2[[#This Row],[Date]],"MMM")</f>
        <v>Sep</v>
      </c>
      <c r="I15" s="3">
        <f>YEAR(Table2[[#This Row],[Date]])</f>
        <v>2026</v>
      </c>
      <c r="J15" s="3">
        <f t="shared" si="0"/>
        <v>450000</v>
      </c>
    </row>
    <row r="16" spans="1:10" x14ac:dyDescent="0.35">
      <c r="A16" s="3" t="s">
        <v>112</v>
      </c>
      <c r="B16" s="3" t="s">
        <v>13</v>
      </c>
      <c r="C16" s="3">
        <v>12462</v>
      </c>
      <c r="D16" s="3">
        <v>0</v>
      </c>
      <c r="E16" s="3" t="s">
        <v>12</v>
      </c>
      <c r="F16" s="3" t="s">
        <v>88</v>
      </c>
      <c r="G16" s="3">
        <f>Table2[[#This Row],[Income]]-Table2[[#This Row],[Expense]]</f>
        <v>12462</v>
      </c>
      <c r="H16" s="3" t="str">
        <f>TEXT(Table2[[#This Row],[Date]],"MMM")</f>
        <v>Apr</v>
      </c>
      <c r="I16" s="3">
        <f>YEAR(Table2[[#This Row],[Date]])</f>
        <v>2024</v>
      </c>
      <c r="J16" s="3">
        <f t="shared" si="0"/>
        <v>0</v>
      </c>
    </row>
    <row r="17" spans="1:10" x14ac:dyDescent="0.35">
      <c r="A17" s="3" t="s">
        <v>113</v>
      </c>
      <c r="B17" s="3" t="s">
        <v>10</v>
      </c>
      <c r="C17" s="3">
        <v>0</v>
      </c>
      <c r="D17" s="3">
        <v>3119</v>
      </c>
      <c r="E17" s="3" t="s">
        <v>95</v>
      </c>
      <c r="F17" s="3" t="s">
        <v>94</v>
      </c>
      <c r="G17" s="3">
        <f>Table2[[#This Row],[Income]]-Table2[[#This Row],[Expense]]</f>
        <v>-3119</v>
      </c>
      <c r="H17" s="3" t="str">
        <f>TEXT(Table2[[#This Row],[Date]],"MMM")</f>
        <v>Oct</v>
      </c>
      <c r="I17" s="3">
        <f>YEAR(Table2[[#This Row],[Date]])</f>
        <v>2026</v>
      </c>
      <c r="J17" s="3">
        <f t="shared" si="0"/>
        <v>450000</v>
      </c>
    </row>
    <row r="18" spans="1:10" x14ac:dyDescent="0.35">
      <c r="A18" s="3" t="s">
        <v>114</v>
      </c>
      <c r="B18" s="3" t="s">
        <v>91</v>
      </c>
      <c r="C18" s="3">
        <v>0</v>
      </c>
      <c r="D18" s="3">
        <v>10498</v>
      </c>
      <c r="E18" s="3" t="s">
        <v>9</v>
      </c>
      <c r="F18" s="3" t="s">
        <v>92</v>
      </c>
      <c r="G18" s="3">
        <f>Table2[[#This Row],[Income]]-Table2[[#This Row],[Expense]]</f>
        <v>-10498</v>
      </c>
      <c r="H18" s="3" t="str">
        <f>TEXT(Table2[[#This Row],[Date]],"MMM")</f>
        <v>Jul</v>
      </c>
      <c r="I18" s="3">
        <f>YEAR(Table2[[#This Row],[Date]])</f>
        <v>2024</v>
      </c>
      <c r="J18" s="3">
        <f t="shared" si="0"/>
        <v>460000</v>
      </c>
    </row>
    <row r="19" spans="1:10" x14ac:dyDescent="0.35">
      <c r="A19" s="3" t="s">
        <v>115</v>
      </c>
      <c r="B19" s="3" t="s">
        <v>14</v>
      </c>
      <c r="C19" s="3">
        <v>0</v>
      </c>
      <c r="D19" s="3">
        <v>15414</v>
      </c>
      <c r="E19" s="3" t="s">
        <v>89</v>
      </c>
      <c r="F19" s="3" t="s">
        <v>90</v>
      </c>
      <c r="G19" s="3">
        <f>Table2[[#This Row],[Income]]-Table2[[#This Row],[Expense]]</f>
        <v>-15414</v>
      </c>
      <c r="H19" s="3" t="str">
        <f>TEXT(Table2[[#This Row],[Date]],"MMM")</f>
        <v>Jul</v>
      </c>
      <c r="I19" s="3">
        <f>YEAR(Table2[[#This Row],[Date]])</f>
        <v>2023</v>
      </c>
      <c r="J19" s="3">
        <f t="shared" si="0"/>
        <v>250000</v>
      </c>
    </row>
    <row r="20" spans="1:10" x14ac:dyDescent="0.35">
      <c r="A20" s="3" t="s">
        <v>116</v>
      </c>
      <c r="B20" s="3" t="s">
        <v>91</v>
      </c>
      <c r="C20" s="3">
        <v>0</v>
      </c>
      <c r="D20" s="3">
        <v>23819</v>
      </c>
      <c r="E20" s="3" t="s">
        <v>95</v>
      </c>
      <c r="F20" s="3" t="s">
        <v>92</v>
      </c>
      <c r="G20" s="3">
        <f>Table2[[#This Row],[Income]]-Table2[[#This Row],[Expense]]</f>
        <v>-23819</v>
      </c>
      <c r="H20" s="3" t="str">
        <f>TEXT(Table2[[#This Row],[Date]],"MMM")</f>
        <v>Dec</v>
      </c>
      <c r="I20" s="3">
        <f>YEAR(Table2[[#This Row],[Date]])</f>
        <v>2025</v>
      </c>
      <c r="J20" s="3">
        <f t="shared" si="0"/>
        <v>460000</v>
      </c>
    </row>
    <row r="21" spans="1:10" x14ac:dyDescent="0.35">
      <c r="A21" s="3" t="s">
        <v>117</v>
      </c>
      <c r="B21" s="3" t="s">
        <v>8</v>
      </c>
      <c r="C21" s="3">
        <v>55989</v>
      </c>
      <c r="D21" s="3">
        <v>0</v>
      </c>
      <c r="E21" s="3" t="s">
        <v>89</v>
      </c>
      <c r="F21" s="3" t="s">
        <v>87</v>
      </c>
      <c r="G21" s="3">
        <f>Table2[[#This Row],[Income]]-Table2[[#This Row],[Expense]]</f>
        <v>55989</v>
      </c>
      <c r="H21" s="3" t="str">
        <f>TEXT(Table2[[#This Row],[Date]],"MMM")</f>
        <v>Nov</v>
      </c>
      <c r="I21" s="3">
        <f>YEAR(Table2[[#This Row],[Date]])</f>
        <v>2025</v>
      </c>
      <c r="J21" s="3">
        <f t="shared" si="0"/>
        <v>0</v>
      </c>
    </row>
    <row r="22" spans="1:10" x14ac:dyDescent="0.35">
      <c r="A22" s="3" t="s">
        <v>68</v>
      </c>
      <c r="B22" s="3" t="s">
        <v>10</v>
      </c>
      <c r="C22" s="3">
        <v>0</v>
      </c>
      <c r="D22" s="3">
        <v>6691</v>
      </c>
      <c r="E22" s="3" t="s">
        <v>12</v>
      </c>
      <c r="F22" s="3" t="s">
        <v>94</v>
      </c>
      <c r="G22" s="3">
        <f>Table2[[#This Row],[Income]]-Table2[[#This Row],[Expense]]</f>
        <v>-6691</v>
      </c>
      <c r="H22" s="3" t="str">
        <f>TEXT(Table2[[#This Row],[Date]],"MMM")</f>
        <v>Jul</v>
      </c>
      <c r="I22" s="3">
        <f>YEAR(Table2[[#This Row],[Date]])</f>
        <v>2025</v>
      </c>
      <c r="J22" s="3">
        <f t="shared" si="0"/>
        <v>450000</v>
      </c>
    </row>
    <row r="23" spans="1:10" x14ac:dyDescent="0.35">
      <c r="A23" s="3" t="s">
        <v>30</v>
      </c>
      <c r="B23" s="3" t="s">
        <v>8</v>
      </c>
      <c r="C23" s="3">
        <v>39369</v>
      </c>
      <c r="D23" s="3">
        <v>0</v>
      </c>
      <c r="E23" s="3" t="s">
        <v>12</v>
      </c>
      <c r="F23" s="3" t="s">
        <v>87</v>
      </c>
      <c r="G23" s="3">
        <f>Table2[[#This Row],[Income]]-Table2[[#This Row],[Expense]]</f>
        <v>39369</v>
      </c>
      <c r="H23" s="3" t="str">
        <f>TEXT(Table2[[#This Row],[Date]],"MMM")</f>
        <v>Jan</v>
      </c>
      <c r="I23" s="3">
        <f>YEAR(Table2[[#This Row],[Date]])</f>
        <v>2025</v>
      </c>
      <c r="J23" s="3">
        <f t="shared" si="0"/>
        <v>0</v>
      </c>
    </row>
    <row r="24" spans="1:10" x14ac:dyDescent="0.35">
      <c r="A24" s="3" t="s">
        <v>60</v>
      </c>
      <c r="B24" s="3" t="s">
        <v>13</v>
      </c>
      <c r="C24" s="3">
        <v>23521</v>
      </c>
      <c r="D24" s="3">
        <v>0</v>
      </c>
      <c r="E24" s="3" t="s">
        <v>89</v>
      </c>
      <c r="F24" s="3" t="s">
        <v>88</v>
      </c>
      <c r="G24" s="3">
        <f>Table2[[#This Row],[Income]]-Table2[[#This Row],[Expense]]</f>
        <v>23521</v>
      </c>
      <c r="H24" s="3" t="str">
        <f>TEXT(Table2[[#This Row],[Date]],"MMM")</f>
        <v>Jun</v>
      </c>
      <c r="I24" s="3">
        <f>YEAR(Table2[[#This Row],[Date]])</f>
        <v>2025</v>
      </c>
      <c r="J24" s="3">
        <f t="shared" si="0"/>
        <v>0</v>
      </c>
    </row>
    <row r="25" spans="1:10" x14ac:dyDescent="0.35">
      <c r="A25" s="3" t="s">
        <v>29</v>
      </c>
      <c r="B25" s="3" t="s">
        <v>80</v>
      </c>
      <c r="C25" s="3">
        <v>0</v>
      </c>
      <c r="D25" s="3">
        <v>7435</v>
      </c>
      <c r="E25" s="3" t="s">
        <v>9</v>
      </c>
      <c r="F25" s="3" t="s">
        <v>82</v>
      </c>
      <c r="G25" s="3">
        <f>Table2[[#This Row],[Income]]-Table2[[#This Row],[Expense]]</f>
        <v>-7435</v>
      </c>
      <c r="H25" s="3" t="str">
        <f>TEXT(Table2[[#This Row],[Date]],"MMM")</f>
        <v>Jan</v>
      </c>
      <c r="I25" s="3">
        <f>YEAR(Table2[[#This Row],[Date]])</f>
        <v>2025</v>
      </c>
      <c r="J25" s="3">
        <f t="shared" si="0"/>
        <v>270000</v>
      </c>
    </row>
    <row r="26" spans="1:10" x14ac:dyDescent="0.35">
      <c r="A26" s="3" t="s">
        <v>118</v>
      </c>
      <c r="B26" s="3" t="s">
        <v>83</v>
      </c>
      <c r="C26" s="3">
        <v>0</v>
      </c>
      <c r="D26" s="3">
        <v>17297</v>
      </c>
      <c r="E26" s="3" t="s">
        <v>95</v>
      </c>
      <c r="F26" s="3" t="s">
        <v>84</v>
      </c>
      <c r="G26" s="3">
        <f>Table2[[#This Row],[Income]]-Table2[[#This Row],[Expense]]</f>
        <v>-17297</v>
      </c>
      <c r="H26" s="3" t="str">
        <f>TEXT(Table2[[#This Row],[Date]],"MMM")</f>
        <v>Jul</v>
      </c>
      <c r="I26" s="3">
        <f>YEAR(Table2[[#This Row],[Date]])</f>
        <v>2024</v>
      </c>
      <c r="J26" s="3">
        <f t="shared" si="0"/>
        <v>300000</v>
      </c>
    </row>
    <row r="27" spans="1:10" x14ac:dyDescent="0.35">
      <c r="A27" s="3" t="s">
        <v>119</v>
      </c>
      <c r="B27" s="3" t="s">
        <v>11</v>
      </c>
      <c r="C27" s="3">
        <v>0</v>
      </c>
      <c r="D27" s="3">
        <v>1245</v>
      </c>
      <c r="E27" s="3" t="s">
        <v>81</v>
      </c>
      <c r="F27" s="3" t="s">
        <v>93</v>
      </c>
      <c r="G27" s="3">
        <f>Table2[[#This Row],[Income]]-Table2[[#This Row],[Expense]]</f>
        <v>-1245</v>
      </c>
      <c r="H27" s="3" t="str">
        <f>TEXT(Table2[[#This Row],[Date]],"MMM")</f>
        <v>Nov</v>
      </c>
      <c r="I27" s="3">
        <f>YEAR(Table2[[#This Row],[Date]])</f>
        <v>2023</v>
      </c>
      <c r="J27" s="3">
        <f t="shared" si="0"/>
        <v>240000</v>
      </c>
    </row>
    <row r="28" spans="1:10" x14ac:dyDescent="0.35">
      <c r="A28" s="3" t="s">
        <v>48</v>
      </c>
      <c r="B28" s="3" t="s">
        <v>13</v>
      </c>
      <c r="C28" s="3">
        <v>68338</v>
      </c>
      <c r="D28" s="3">
        <v>0</v>
      </c>
      <c r="E28" s="3" t="s">
        <v>9</v>
      </c>
      <c r="F28" s="3" t="s">
        <v>88</v>
      </c>
      <c r="G28" s="3">
        <f>Table2[[#This Row],[Income]]-Table2[[#This Row],[Expense]]</f>
        <v>68338</v>
      </c>
      <c r="H28" s="3" t="str">
        <f>TEXT(Table2[[#This Row],[Date]],"MMM")</f>
        <v>Apr</v>
      </c>
      <c r="I28" s="3">
        <f>YEAR(Table2[[#This Row],[Date]])</f>
        <v>2025</v>
      </c>
      <c r="J28" s="3">
        <f t="shared" si="0"/>
        <v>0</v>
      </c>
    </row>
    <row r="29" spans="1:10" x14ac:dyDescent="0.35">
      <c r="A29" s="3" t="s">
        <v>120</v>
      </c>
      <c r="B29" s="3" t="s">
        <v>85</v>
      </c>
      <c r="C29" s="3">
        <v>44661</v>
      </c>
      <c r="D29" s="3">
        <v>0</v>
      </c>
      <c r="E29" s="3" t="s">
        <v>81</v>
      </c>
      <c r="F29" s="3" t="s">
        <v>86</v>
      </c>
      <c r="G29" s="3">
        <f>Table2[[#This Row],[Income]]-Table2[[#This Row],[Expense]]</f>
        <v>44661</v>
      </c>
      <c r="H29" s="3" t="str">
        <f>TEXT(Table2[[#This Row],[Date]],"MMM")</f>
        <v>Jan</v>
      </c>
      <c r="I29" s="3">
        <f>YEAR(Table2[[#This Row],[Date]])</f>
        <v>2023</v>
      </c>
      <c r="J29" s="3">
        <f t="shared" si="0"/>
        <v>100000</v>
      </c>
    </row>
    <row r="30" spans="1:10" x14ac:dyDescent="0.35">
      <c r="A30" s="3" t="s">
        <v>121</v>
      </c>
      <c r="B30" s="3" t="s">
        <v>10</v>
      </c>
      <c r="C30" s="3">
        <v>0</v>
      </c>
      <c r="D30" s="3">
        <v>9754</v>
      </c>
      <c r="E30" s="3" t="s">
        <v>95</v>
      </c>
      <c r="F30" s="3" t="s">
        <v>94</v>
      </c>
      <c r="G30" s="3">
        <f>Table2[[#This Row],[Income]]-Table2[[#This Row],[Expense]]</f>
        <v>-9754</v>
      </c>
      <c r="H30" s="3" t="str">
        <f>TEXT(Table2[[#This Row],[Date]],"MMM")</f>
        <v>Nov</v>
      </c>
      <c r="I30" s="3">
        <f>YEAR(Table2[[#This Row],[Date]])</f>
        <v>2023</v>
      </c>
      <c r="J30" s="3">
        <f t="shared" si="0"/>
        <v>450000</v>
      </c>
    </row>
    <row r="31" spans="1:10" x14ac:dyDescent="0.35">
      <c r="A31" s="3" t="s">
        <v>122</v>
      </c>
      <c r="B31" s="3" t="s">
        <v>11</v>
      </c>
      <c r="C31" s="3">
        <v>0</v>
      </c>
      <c r="D31" s="3">
        <v>11491</v>
      </c>
      <c r="E31" s="3" t="s">
        <v>9</v>
      </c>
      <c r="F31" s="3" t="s">
        <v>93</v>
      </c>
      <c r="G31" s="3">
        <f>Table2[[#This Row],[Income]]-Table2[[#This Row],[Expense]]</f>
        <v>-11491</v>
      </c>
      <c r="H31" s="3" t="str">
        <f>TEXT(Table2[[#This Row],[Date]],"MMM")</f>
        <v>Feb</v>
      </c>
      <c r="I31" s="3">
        <f>YEAR(Table2[[#This Row],[Date]])</f>
        <v>2026</v>
      </c>
      <c r="J31" s="3">
        <f t="shared" si="0"/>
        <v>240000</v>
      </c>
    </row>
    <row r="32" spans="1:10" x14ac:dyDescent="0.35">
      <c r="A32" s="3" t="s">
        <v>123</v>
      </c>
      <c r="B32" s="3" t="s">
        <v>8</v>
      </c>
      <c r="C32" s="3">
        <v>37462</v>
      </c>
      <c r="D32" s="3">
        <v>0</v>
      </c>
      <c r="E32" s="3" t="s">
        <v>89</v>
      </c>
      <c r="F32" s="3" t="s">
        <v>87</v>
      </c>
      <c r="G32" s="3">
        <f>Table2[[#This Row],[Income]]-Table2[[#This Row],[Expense]]</f>
        <v>37462</v>
      </c>
      <c r="H32" s="3" t="str">
        <f>TEXT(Table2[[#This Row],[Date]],"MMM")</f>
        <v>Mar</v>
      </c>
      <c r="I32" s="3">
        <f>YEAR(Table2[[#This Row],[Date]])</f>
        <v>2024</v>
      </c>
      <c r="J32" s="3">
        <f t="shared" si="0"/>
        <v>0</v>
      </c>
    </row>
    <row r="33" spans="1:10" x14ac:dyDescent="0.35">
      <c r="A33" s="3" t="s">
        <v>104</v>
      </c>
      <c r="B33" s="3" t="s">
        <v>10</v>
      </c>
      <c r="C33" s="3">
        <v>0</v>
      </c>
      <c r="D33" s="3">
        <v>24587</v>
      </c>
      <c r="E33" s="3" t="s">
        <v>9</v>
      </c>
      <c r="F33" s="3" t="s">
        <v>94</v>
      </c>
      <c r="G33" s="3">
        <f>Table2[[#This Row],[Income]]-Table2[[#This Row],[Expense]]</f>
        <v>-24587</v>
      </c>
      <c r="H33" s="3" t="str">
        <f>TEXT(Table2[[#This Row],[Date]],"MMM")</f>
        <v>Oct</v>
      </c>
      <c r="I33" s="3">
        <f>YEAR(Table2[[#This Row],[Date]])</f>
        <v>2024</v>
      </c>
      <c r="J33" s="3">
        <f t="shared" si="0"/>
        <v>450000</v>
      </c>
    </row>
    <row r="34" spans="1:10" x14ac:dyDescent="0.35">
      <c r="A34" s="3" t="s">
        <v>124</v>
      </c>
      <c r="B34" s="3" t="s">
        <v>8</v>
      </c>
      <c r="C34" s="3">
        <v>71803</v>
      </c>
      <c r="D34" s="3">
        <v>0</v>
      </c>
      <c r="E34" s="3" t="s">
        <v>81</v>
      </c>
      <c r="F34" s="3" t="s">
        <v>87</v>
      </c>
      <c r="G34" s="3">
        <f>Table2[[#This Row],[Income]]-Table2[[#This Row],[Expense]]</f>
        <v>71803</v>
      </c>
      <c r="H34" s="3" t="str">
        <f>TEXT(Table2[[#This Row],[Date]],"MMM")</f>
        <v>Sep</v>
      </c>
      <c r="I34" s="3">
        <f>YEAR(Table2[[#This Row],[Date]])</f>
        <v>2026</v>
      </c>
      <c r="J34" s="3">
        <f t="shared" si="0"/>
        <v>0</v>
      </c>
    </row>
    <row r="35" spans="1:10" x14ac:dyDescent="0.35">
      <c r="A35" s="3" t="s">
        <v>125</v>
      </c>
      <c r="B35" s="3" t="s">
        <v>10</v>
      </c>
      <c r="C35" s="3">
        <v>0</v>
      </c>
      <c r="D35" s="3">
        <v>8839</v>
      </c>
      <c r="E35" s="3" t="s">
        <v>95</v>
      </c>
      <c r="F35" s="3" t="s">
        <v>94</v>
      </c>
      <c r="G35" s="3">
        <f>Table2[[#This Row],[Income]]-Table2[[#This Row],[Expense]]</f>
        <v>-8839</v>
      </c>
      <c r="H35" s="3" t="str">
        <f>TEXT(Table2[[#This Row],[Date]],"MMM")</f>
        <v>Jun</v>
      </c>
      <c r="I35" s="3">
        <f>YEAR(Table2[[#This Row],[Date]])</f>
        <v>2023</v>
      </c>
      <c r="J35" s="3">
        <f t="shared" si="0"/>
        <v>450000</v>
      </c>
    </row>
    <row r="36" spans="1:10" x14ac:dyDescent="0.35">
      <c r="A36" s="3" t="s">
        <v>126</v>
      </c>
      <c r="B36" s="3" t="s">
        <v>14</v>
      </c>
      <c r="C36" s="3">
        <v>0</v>
      </c>
      <c r="D36" s="3">
        <v>3237</v>
      </c>
      <c r="E36" s="3" t="s">
        <v>12</v>
      </c>
      <c r="F36" s="3" t="s">
        <v>90</v>
      </c>
      <c r="G36" s="3">
        <f>Table2[[#This Row],[Income]]-Table2[[#This Row],[Expense]]</f>
        <v>-3237</v>
      </c>
      <c r="H36" s="3" t="str">
        <f>TEXT(Table2[[#This Row],[Date]],"MMM")</f>
        <v>Jul</v>
      </c>
      <c r="I36" s="3">
        <f>YEAR(Table2[[#This Row],[Date]])</f>
        <v>2023</v>
      </c>
      <c r="J36" s="3">
        <f t="shared" si="0"/>
        <v>250000</v>
      </c>
    </row>
    <row r="37" spans="1:10" x14ac:dyDescent="0.35">
      <c r="A37" s="3" t="s">
        <v>127</v>
      </c>
      <c r="B37" s="3" t="s">
        <v>11</v>
      </c>
      <c r="C37" s="3">
        <v>0</v>
      </c>
      <c r="D37" s="3">
        <v>15084</v>
      </c>
      <c r="E37" s="3" t="s">
        <v>9</v>
      </c>
      <c r="F37" s="3" t="s">
        <v>93</v>
      </c>
      <c r="G37" s="3">
        <f>Table2[[#This Row],[Income]]-Table2[[#This Row],[Expense]]</f>
        <v>-15084</v>
      </c>
      <c r="H37" s="3" t="str">
        <f>TEXT(Table2[[#This Row],[Date]],"MMM")</f>
        <v>Feb</v>
      </c>
      <c r="I37" s="3">
        <f>YEAR(Table2[[#This Row],[Date]])</f>
        <v>2026</v>
      </c>
      <c r="J37" s="3">
        <f t="shared" si="0"/>
        <v>240000</v>
      </c>
    </row>
    <row r="38" spans="1:10" x14ac:dyDescent="0.35">
      <c r="A38" s="3" t="s">
        <v>128</v>
      </c>
      <c r="B38" s="3" t="s">
        <v>83</v>
      </c>
      <c r="C38" s="3">
        <v>0</v>
      </c>
      <c r="D38" s="3">
        <v>6449</v>
      </c>
      <c r="E38" s="3" t="s">
        <v>9</v>
      </c>
      <c r="F38" s="3" t="s">
        <v>84</v>
      </c>
      <c r="G38" s="3">
        <f>Table2[[#This Row],[Income]]-Table2[[#This Row],[Expense]]</f>
        <v>-6449</v>
      </c>
      <c r="H38" s="3" t="str">
        <f>TEXT(Table2[[#This Row],[Date]],"MMM")</f>
        <v>May</v>
      </c>
      <c r="I38" s="3">
        <f>YEAR(Table2[[#This Row],[Date]])</f>
        <v>2026</v>
      </c>
      <c r="J38" s="3">
        <f t="shared" si="0"/>
        <v>300000</v>
      </c>
    </row>
    <row r="39" spans="1:10" x14ac:dyDescent="0.35">
      <c r="A39" s="3" t="s">
        <v>28</v>
      </c>
      <c r="B39" s="3" t="s">
        <v>7</v>
      </c>
      <c r="C39" s="3">
        <v>51754</v>
      </c>
      <c r="D39" s="3">
        <v>0</v>
      </c>
      <c r="E39" s="3" t="s">
        <v>89</v>
      </c>
      <c r="F39" s="3" t="s">
        <v>97</v>
      </c>
      <c r="G39" s="3">
        <f>Table2[[#This Row],[Income]]-Table2[[#This Row],[Expense]]</f>
        <v>51754</v>
      </c>
      <c r="H39" s="3" t="str">
        <f>TEXT(Table2[[#This Row],[Date]],"MMM")</f>
        <v>Jan</v>
      </c>
      <c r="I39" s="3">
        <f>YEAR(Table2[[#This Row],[Date]])</f>
        <v>2025</v>
      </c>
      <c r="J39" s="3">
        <f t="shared" si="0"/>
        <v>0</v>
      </c>
    </row>
    <row r="40" spans="1:10" x14ac:dyDescent="0.35">
      <c r="A40" s="3" t="s">
        <v>63</v>
      </c>
      <c r="B40" s="3" t="s">
        <v>80</v>
      </c>
      <c r="C40" s="3">
        <v>0</v>
      </c>
      <c r="D40" s="3">
        <v>5097</v>
      </c>
      <c r="E40" s="3" t="s">
        <v>12</v>
      </c>
      <c r="F40" s="3" t="s">
        <v>82</v>
      </c>
      <c r="G40" s="3">
        <f>Table2[[#This Row],[Income]]-Table2[[#This Row],[Expense]]</f>
        <v>-5097</v>
      </c>
      <c r="H40" s="3" t="str">
        <f>TEXT(Table2[[#This Row],[Date]],"MMM")</f>
        <v>Jun</v>
      </c>
      <c r="I40" s="3">
        <f>YEAR(Table2[[#This Row],[Date]])</f>
        <v>2025</v>
      </c>
      <c r="J40" s="3">
        <f t="shared" si="0"/>
        <v>270000</v>
      </c>
    </row>
    <row r="41" spans="1:10" x14ac:dyDescent="0.35">
      <c r="A41" s="3" t="s">
        <v>129</v>
      </c>
      <c r="B41" s="3" t="s">
        <v>80</v>
      </c>
      <c r="C41" s="3">
        <v>0</v>
      </c>
      <c r="D41" s="3">
        <v>14003</v>
      </c>
      <c r="E41" s="3" t="s">
        <v>9</v>
      </c>
      <c r="F41" s="3" t="s">
        <v>82</v>
      </c>
      <c r="G41" s="3">
        <f>Table2[[#This Row],[Income]]-Table2[[#This Row],[Expense]]</f>
        <v>-14003</v>
      </c>
      <c r="H41" s="3" t="str">
        <f>TEXT(Table2[[#This Row],[Date]],"MMM")</f>
        <v>Nov</v>
      </c>
      <c r="I41" s="3">
        <f>YEAR(Table2[[#This Row],[Date]])</f>
        <v>2025</v>
      </c>
      <c r="J41" s="3">
        <f t="shared" si="0"/>
        <v>270000</v>
      </c>
    </row>
    <row r="42" spans="1:10" x14ac:dyDescent="0.35">
      <c r="A42" s="3" t="s">
        <v>130</v>
      </c>
      <c r="B42" s="3" t="s">
        <v>10</v>
      </c>
      <c r="C42" s="3">
        <v>0</v>
      </c>
      <c r="D42" s="3">
        <v>17848</v>
      </c>
      <c r="E42" s="3" t="s">
        <v>95</v>
      </c>
      <c r="F42" s="3" t="s">
        <v>94</v>
      </c>
      <c r="G42" s="3">
        <f>Table2[[#This Row],[Income]]-Table2[[#This Row],[Expense]]</f>
        <v>-17848</v>
      </c>
      <c r="H42" s="3" t="str">
        <f>TEXT(Table2[[#This Row],[Date]],"MMM")</f>
        <v>Dec</v>
      </c>
      <c r="I42" s="3">
        <f>YEAR(Table2[[#This Row],[Date]])</f>
        <v>2025</v>
      </c>
      <c r="J42" s="3">
        <f t="shared" si="0"/>
        <v>450000</v>
      </c>
    </row>
    <row r="43" spans="1:10" x14ac:dyDescent="0.35">
      <c r="A43" s="3" t="s">
        <v>131</v>
      </c>
      <c r="B43" s="3" t="s">
        <v>14</v>
      </c>
      <c r="C43" s="3">
        <v>0</v>
      </c>
      <c r="D43" s="3">
        <v>19456</v>
      </c>
      <c r="E43" s="3" t="s">
        <v>81</v>
      </c>
      <c r="F43" s="3" t="s">
        <v>90</v>
      </c>
      <c r="G43" s="3">
        <f>Table2[[#This Row],[Income]]-Table2[[#This Row],[Expense]]</f>
        <v>-19456</v>
      </c>
      <c r="H43" s="3" t="str">
        <f>TEXT(Table2[[#This Row],[Date]],"MMM")</f>
        <v>Nov</v>
      </c>
      <c r="I43" s="3">
        <f>YEAR(Table2[[#This Row],[Date]])</f>
        <v>2024</v>
      </c>
      <c r="J43" s="3">
        <f t="shared" si="0"/>
        <v>250000</v>
      </c>
    </row>
    <row r="44" spans="1:10" x14ac:dyDescent="0.35">
      <c r="A44" s="3" t="s">
        <v>132</v>
      </c>
      <c r="B44" s="3" t="s">
        <v>83</v>
      </c>
      <c r="C44" s="3">
        <v>0</v>
      </c>
      <c r="D44" s="3">
        <v>24792</v>
      </c>
      <c r="E44" s="3" t="s">
        <v>12</v>
      </c>
      <c r="F44" s="3" t="s">
        <v>84</v>
      </c>
      <c r="G44" s="3">
        <f>Table2[[#This Row],[Income]]-Table2[[#This Row],[Expense]]</f>
        <v>-24792</v>
      </c>
      <c r="H44" s="3" t="str">
        <f>TEXT(Table2[[#This Row],[Date]],"MMM")</f>
        <v>Feb</v>
      </c>
      <c r="I44" s="3">
        <f>YEAR(Table2[[#This Row],[Date]])</f>
        <v>2024</v>
      </c>
      <c r="J44" s="3">
        <f t="shared" si="0"/>
        <v>300000</v>
      </c>
    </row>
    <row r="45" spans="1:10" x14ac:dyDescent="0.35">
      <c r="A45" s="3" t="s">
        <v>133</v>
      </c>
      <c r="B45" s="3" t="s">
        <v>11</v>
      </c>
      <c r="C45" s="3">
        <v>0</v>
      </c>
      <c r="D45" s="3">
        <v>10781</v>
      </c>
      <c r="E45" s="3" t="s">
        <v>81</v>
      </c>
      <c r="F45" s="3" t="s">
        <v>93</v>
      </c>
      <c r="G45" s="3">
        <f>Table2[[#This Row],[Income]]-Table2[[#This Row],[Expense]]</f>
        <v>-10781</v>
      </c>
      <c r="H45" s="3" t="str">
        <f>TEXT(Table2[[#This Row],[Date]],"MMM")</f>
        <v>Aug</v>
      </c>
      <c r="I45" s="3">
        <f>YEAR(Table2[[#This Row],[Date]])</f>
        <v>2023</v>
      </c>
      <c r="J45" s="3">
        <f t="shared" si="0"/>
        <v>240000</v>
      </c>
    </row>
    <row r="46" spans="1:10" x14ac:dyDescent="0.35">
      <c r="A46" s="3" t="s">
        <v>134</v>
      </c>
      <c r="B46" s="3" t="s">
        <v>20</v>
      </c>
      <c r="C46" s="3">
        <v>0</v>
      </c>
      <c r="D46" s="3">
        <v>5012</v>
      </c>
      <c r="E46" s="3" t="s">
        <v>12</v>
      </c>
      <c r="F46" s="3" t="s">
        <v>96</v>
      </c>
      <c r="G46" s="3">
        <f>Table2[[#This Row],[Income]]-Table2[[#This Row],[Expense]]</f>
        <v>-5012</v>
      </c>
      <c r="H46" s="3" t="str">
        <f>TEXT(Table2[[#This Row],[Date]],"MMM")</f>
        <v>Aug</v>
      </c>
      <c r="I46" s="3">
        <f>YEAR(Table2[[#This Row],[Date]])</f>
        <v>2024</v>
      </c>
      <c r="J46" s="3">
        <f t="shared" si="0"/>
        <v>400000</v>
      </c>
    </row>
    <row r="47" spans="1:10" x14ac:dyDescent="0.35">
      <c r="A47" s="3" t="s">
        <v>135</v>
      </c>
      <c r="B47" s="3" t="s">
        <v>20</v>
      </c>
      <c r="C47" s="3">
        <v>0</v>
      </c>
      <c r="D47" s="3">
        <v>15421</v>
      </c>
      <c r="E47" s="3" t="s">
        <v>12</v>
      </c>
      <c r="F47" s="3" t="s">
        <v>96</v>
      </c>
      <c r="G47" s="3">
        <f>Table2[[#This Row],[Income]]-Table2[[#This Row],[Expense]]</f>
        <v>-15421</v>
      </c>
      <c r="H47" s="3" t="str">
        <f>TEXT(Table2[[#This Row],[Date]],"MMM")</f>
        <v>Jun</v>
      </c>
      <c r="I47" s="3">
        <f>YEAR(Table2[[#This Row],[Date]])</f>
        <v>2026</v>
      </c>
      <c r="J47" s="3">
        <f t="shared" si="0"/>
        <v>400000</v>
      </c>
    </row>
    <row r="48" spans="1:10" x14ac:dyDescent="0.35">
      <c r="A48" s="3" t="s">
        <v>136</v>
      </c>
      <c r="B48" s="3" t="s">
        <v>7</v>
      </c>
      <c r="C48" s="3">
        <v>34187</v>
      </c>
      <c r="D48" s="3">
        <v>0</v>
      </c>
      <c r="E48" s="3" t="s">
        <v>9</v>
      </c>
      <c r="F48" s="3" t="s">
        <v>97</v>
      </c>
      <c r="G48" s="3">
        <f>Table2[[#This Row],[Income]]-Table2[[#This Row],[Expense]]</f>
        <v>34187</v>
      </c>
      <c r="H48" s="3" t="str">
        <f>TEXT(Table2[[#This Row],[Date]],"MMM")</f>
        <v>Aug</v>
      </c>
      <c r="I48" s="3">
        <f>YEAR(Table2[[#This Row],[Date]])</f>
        <v>2024</v>
      </c>
      <c r="J48" s="3">
        <f t="shared" si="0"/>
        <v>0</v>
      </c>
    </row>
    <row r="49" spans="1:10" x14ac:dyDescent="0.35">
      <c r="A49" s="3" t="s">
        <v>137</v>
      </c>
      <c r="B49" s="3" t="s">
        <v>11</v>
      </c>
      <c r="C49" s="3">
        <v>0</v>
      </c>
      <c r="D49" s="3">
        <v>6884</v>
      </c>
      <c r="E49" s="3" t="s">
        <v>12</v>
      </c>
      <c r="F49" s="3" t="s">
        <v>93</v>
      </c>
      <c r="G49" s="3">
        <f>Table2[[#This Row],[Income]]-Table2[[#This Row],[Expense]]</f>
        <v>-6884</v>
      </c>
      <c r="H49" s="3" t="str">
        <f>TEXT(Table2[[#This Row],[Date]],"MMM")</f>
        <v>Feb</v>
      </c>
      <c r="I49" s="3">
        <f>YEAR(Table2[[#This Row],[Date]])</f>
        <v>2023</v>
      </c>
      <c r="J49" s="3">
        <f t="shared" si="0"/>
        <v>240000</v>
      </c>
    </row>
    <row r="50" spans="1:10" x14ac:dyDescent="0.35">
      <c r="A50" s="3" t="s">
        <v>138</v>
      </c>
      <c r="B50" s="3" t="s">
        <v>14</v>
      </c>
      <c r="C50" s="3">
        <v>0</v>
      </c>
      <c r="D50" s="3">
        <v>24101</v>
      </c>
      <c r="E50" s="3" t="s">
        <v>12</v>
      </c>
      <c r="F50" s="3" t="s">
        <v>90</v>
      </c>
      <c r="G50" s="3">
        <f>Table2[[#This Row],[Income]]-Table2[[#This Row],[Expense]]</f>
        <v>-24101</v>
      </c>
      <c r="H50" s="3" t="str">
        <f>TEXT(Table2[[#This Row],[Date]],"MMM")</f>
        <v>Sep</v>
      </c>
      <c r="I50" s="3">
        <f>YEAR(Table2[[#This Row],[Date]])</f>
        <v>2025</v>
      </c>
      <c r="J50" s="3">
        <f t="shared" si="0"/>
        <v>250000</v>
      </c>
    </row>
    <row r="51" spans="1:10" x14ac:dyDescent="0.35">
      <c r="A51" s="3" t="s">
        <v>139</v>
      </c>
      <c r="B51" s="3" t="s">
        <v>7</v>
      </c>
      <c r="C51" s="3">
        <v>57951</v>
      </c>
      <c r="D51" s="3">
        <v>0</v>
      </c>
      <c r="E51" s="3" t="s">
        <v>95</v>
      </c>
      <c r="F51" s="3" t="s">
        <v>97</v>
      </c>
      <c r="G51" s="3">
        <f>Table2[[#This Row],[Income]]-Table2[[#This Row],[Expense]]</f>
        <v>57951</v>
      </c>
      <c r="H51" s="3" t="str">
        <f>TEXT(Table2[[#This Row],[Date]],"MMM")</f>
        <v>Nov</v>
      </c>
      <c r="I51" s="3">
        <f>YEAR(Table2[[#This Row],[Date]])</f>
        <v>2026</v>
      </c>
      <c r="J51" s="3">
        <f t="shared" si="0"/>
        <v>0</v>
      </c>
    </row>
    <row r="52" spans="1:10" x14ac:dyDescent="0.35">
      <c r="A52" s="3" t="s">
        <v>76</v>
      </c>
      <c r="B52" s="3" t="s">
        <v>91</v>
      </c>
      <c r="C52" s="3">
        <v>0</v>
      </c>
      <c r="D52" s="3">
        <v>22977</v>
      </c>
      <c r="E52" s="3" t="s">
        <v>95</v>
      </c>
      <c r="F52" s="3" t="s">
        <v>92</v>
      </c>
      <c r="G52" s="3">
        <f>Table2[[#This Row],[Income]]-Table2[[#This Row],[Expense]]</f>
        <v>-22977</v>
      </c>
      <c r="H52" s="3" t="str">
        <f>TEXT(Table2[[#This Row],[Date]],"MMM")</f>
        <v>Aug</v>
      </c>
      <c r="I52" s="3">
        <f>YEAR(Table2[[#This Row],[Date]])</f>
        <v>2025</v>
      </c>
      <c r="J52" s="3">
        <f t="shared" si="0"/>
        <v>460000</v>
      </c>
    </row>
    <row r="53" spans="1:10" x14ac:dyDescent="0.35">
      <c r="A53" s="3" t="s">
        <v>140</v>
      </c>
      <c r="B53" s="3" t="s">
        <v>83</v>
      </c>
      <c r="C53" s="3">
        <v>0</v>
      </c>
      <c r="D53" s="3">
        <v>22080</v>
      </c>
      <c r="E53" s="3" t="s">
        <v>89</v>
      </c>
      <c r="F53" s="3" t="s">
        <v>84</v>
      </c>
      <c r="G53" s="3">
        <f>Table2[[#This Row],[Income]]-Table2[[#This Row],[Expense]]</f>
        <v>-22080</v>
      </c>
      <c r="H53" s="3" t="str">
        <f>TEXT(Table2[[#This Row],[Date]],"MMM")</f>
        <v>Apr</v>
      </c>
      <c r="I53" s="3">
        <f>YEAR(Table2[[#This Row],[Date]])</f>
        <v>2023</v>
      </c>
      <c r="J53" s="3">
        <f t="shared" si="0"/>
        <v>300000</v>
      </c>
    </row>
    <row r="54" spans="1:10" x14ac:dyDescent="0.35">
      <c r="A54" s="3" t="s">
        <v>77</v>
      </c>
      <c r="B54" s="3" t="s">
        <v>91</v>
      </c>
      <c r="C54" s="3">
        <v>0</v>
      </c>
      <c r="D54" s="3">
        <v>13595</v>
      </c>
      <c r="E54" s="3" t="s">
        <v>9</v>
      </c>
      <c r="F54" s="3" t="s">
        <v>92</v>
      </c>
      <c r="G54" s="3">
        <f>Table2[[#This Row],[Income]]-Table2[[#This Row],[Expense]]</f>
        <v>-13595</v>
      </c>
      <c r="H54" s="3" t="str">
        <f>TEXT(Table2[[#This Row],[Date]],"MMM")</f>
        <v>Aug</v>
      </c>
      <c r="I54" s="3">
        <f>YEAR(Table2[[#This Row],[Date]])</f>
        <v>2025</v>
      </c>
      <c r="J54" s="3">
        <f t="shared" si="0"/>
        <v>460000</v>
      </c>
    </row>
    <row r="55" spans="1:10" x14ac:dyDescent="0.35">
      <c r="A55" s="3" t="s">
        <v>141</v>
      </c>
      <c r="B55" s="3" t="s">
        <v>85</v>
      </c>
      <c r="C55" s="3">
        <v>34916</v>
      </c>
      <c r="D55" s="3">
        <v>0</v>
      </c>
      <c r="E55" s="3" t="s">
        <v>95</v>
      </c>
      <c r="F55" s="3" t="s">
        <v>86</v>
      </c>
      <c r="G55" s="3">
        <f>Table2[[#This Row],[Income]]-Table2[[#This Row],[Expense]]</f>
        <v>34916</v>
      </c>
      <c r="H55" s="3" t="str">
        <f>TEXT(Table2[[#This Row],[Date]],"MMM")</f>
        <v>Nov</v>
      </c>
      <c r="I55" s="3">
        <f>YEAR(Table2[[#This Row],[Date]])</f>
        <v>2026</v>
      </c>
      <c r="J55" s="3">
        <f t="shared" si="0"/>
        <v>100000</v>
      </c>
    </row>
    <row r="56" spans="1:10" x14ac:dyDescent="0.35">
      <c r="A56" s="3" t="s">
        <v>142</v>
      </c>
      <c r="B56" s="3" t="s">
        <v>10</v>
      </c>
      <c r="C56" s="3">
        <v>0</v>
      </c>
      <c r="D56" s="3">
        <v>14333</v>
      </c>
      <c r="E56" s="3" t="s">
        <v>9</v>
      </c>
      <c r="F56" s="3" t="s">
        <v>94</v>
      </c>
      <c r="G56" s="3">
        <f>Table2[[#This Row],[Income]]-Table2[[#This Row],[Expense]]</f>
        <v>-14333</v>
      </c>
      <c r="H56" s="3" t="str">
        <f>TEXT(Table2[[#This Row],[Date]],"MMM")</f>
        <v>Apr</v>
      </c>
      <c r="I56" s="3">
        <f>YEAR(Table2[[#This Row],[Date]])</f>
        <v>2024</v>
      </c>
      <c r="J56" s="3">
        <f t="shared" si="0"/>
        <v>450000</v>
      </c>
    </row>
    <row r="57" spans="1:10" x14ac:dyDescent="0.35">
      <c r="A57" s="3" t="s">
        <v>143</v>
      </c>
      <c r="B57" s="3" t="s">
        <v>20</v>
      </c>
      <c r="C57" s="3">
        <v>0</v>
      </c>
      <c r="D57" s="3">
        <v>3485</v>
      </c>
      <c r="E57" s="3" t="s">
        <v>95</v>
      </c>
      <c r="F57" s="3" t="s">
        <v>96</v>
      </c>
      <c r="G57" s="3">
        <f>Table2[[#This Row],[Income]]-Table2[[#This Row],[Expense]]</f>
        <v>-3485</v>
      </c>
      <c r="H57" s="3" t="str">
        <f>TEXT(Table2[[#This Row],[Date]],"MMM")</f>
        <v>Jan</v>
      </c>
      <c r="I57" s="3">
        <f>YEAR(Table2[[#This Row],[Date]])</f>
        <v>2026</v>
      </c>
      <c r="J57" s="3">
        <f t="shared" si="0"/>
        <v>400000</v>
      </c>
    </row>
    <row r="58" spans="1:10" x14ac:dyDescent="0.35">
      <c r="A58" s="3" t="s">
        <v>144</v>
      </c>
      <c r="B58" s="3" t="s">
        <v>8</v>
      </c>
      <c r="C58" s="3">
        <v>66348</v>
      </c>
      <c r="D58" s="3">
        <v>0</v>
      </c>
      <c r="E58" s="3" t="s">
        <v>12</v>
      </c>
      <c r="F58" s="3" t="s">
        <v>87</v>
      </c>
      <c r="G58" s="3">
        <f>Table2[[#This Row],[Income]]-Table2[[#This Row],[Expense]]</f>
        <v>66348</v>
      </c>
      <c r="H58" s="3" t="str">
        <f>TEXT(Table2[[#This Row],[Date]],"MMM")</f>
        <v>Apr</v>
      </c>
      <c r="I58" s="3">
        <f>YEAR(Table2[[#This Row],[Date]])</f>
        <v>2024</v>
      </c>
      <c r="J58" s="3">
        <f t="shared" si="0"/>
        <v>0</v>
      </c>
    </row>
    <row r="59" spans="1:10" x14ac:dyDescent="0.35">
      <c r="A59" s="3" t="s">
        <v>145</v>
      </c>
      <c r="B59" s="3" t="s">
        <v>14</v>
      </c>
      <c r="C59" s="3">
        <v>0</v>
      </c>
      <c r="D59" s="3">
        <v>10660</v>
      </c>
      <c r="E59" s="3" t="s">
        <v>89</v>
      </c>
      <c r="F59" s="3" t="s">
        <v>90</v>
      </c>
      <c r="G59" s="3">
        <f>Table2[[#This Row],[Income]]-Table2[[#This Row],[Expense]]</f>
        <v>-10660</v>
      </c>
      <c r="H59" s="3" t="str">
        <f>TEXT(Table2[[#This Row],[Date]],"MMM")</f>
        <v>Aug</v>
      </c>
      <c r="I59" s="3">
        <f>YEAR(Table2[[#This Row],[Date]])</f>
        <v>2026</v>
      </c>
      <c r="J59" s="3">
        <f t="shared" si="0"/>
        <v>250000</v>
      </c>
    </row>
    <row r="60" spans="1:10" x14ac:dyDescent="0.35">
      <c r="A60" s="3" t="s">
        <v>146</v>
      </c>
      <c r="B60" s="3" t="s">
        <v>22</v>
      </c>
      <c r="C60" s="3">
        <v>0</v>
      </c>
      <c r="D60" s="3">
        <v>5279</v>
      </c>
      <c r="E60" s="3" t="s">
        <v>95</v>
      </c>
      <c r="F60" s="3" t="s">
        <v>98</v>
      </c>
      <c r="G60" s="3">
        <f>Table2[[#This Row],[Income]]-Table2[[#This Row],[Expense]]</f>
        <v>-5279</v>
      </c>
      <c r="H60" s="3" t="str">
        <f>TEXT(Table2[[#This Row],[Date]],"MMM")</f>
        <v>Jul</v>
      </c>
      <c r="I60" s="3">
        <f>YEAR(Table2[[#This Row],[Date]])</f>
        <v>2026</v>
      </c>
      <c r="J60" s="3">
        <f t="shared" si="0"/>
        <v>300000</v>
      </c>
    </row>
    <row r="61" spans="1:10" x14ac:dyDescent="0.35">
      <c r="A61" s="3" t="s">
        <v>147</v>
      </c>
      <c r="B61" s="3" t="s">
        <v>83</v>
      </c>
      <c r="C61" s="3">
        <v>0</v>
      </c>
      <c r="D61" s="3">
        <v>7641</v>
      </c>
      <c r="E61" s="3" t="s">
        <v>95</v>
      </c>
      <c r="F61" s="3" t="s">
        <v>84</v>
      </c>
      <c r="G61" s="3">
        <f>Table2[[#This Row],[Income]]-Table2[[#This Row],[Expense]]</f>
        <v>-7641</v>
      </c>
      <c r="H61" s="3" t="str">
        <f>TEXT(Table2[[#This Row],[Date]],"MMM")</f>
        <v>Mar</v>
      </c>
      <c r="I61" s="3">
        <f>YEAR(Table2[[#This Row],[Date]])</f>
        <v>2026</v>
      </c>
      <c r="J61" s="3">
        <f t="shared" si="0"/>
        <v>300000</v>
      </c>
    </row>
    <row r="62" spans="1:10" x14ac:dyDescent="0.35">
      <c r="A62" s="3" t="s">
        <v>37</v>
      </c>
      <c r="B62" s="3" t="s">
        <v>11</v>
      </c>
      <c r="C62" s="3">
        <v>0</v>
      </c>
      <c r="D62" s="3">
        <v>24479</v>
      </c>
      <c r="E62" s="3" t="s">
        <v>81</v>
      </c>
      <c r="F62" s="3" t="s">
        <v>93</v>
      </c>
      <c r="G62" s="3">
        <f>Table2[[#This Row],[Income]]-Table2[[#This Row],[Expense]]</f>
        <v>-24479</v>
      </c>
      <c r="H62" s="3" t="str">
        <f>TEXT(Table2[[#This Row],[Date]],"MMM")</f>
        <v>Mar</v>
      </c>
      <c r="I62" s="3">
        <f>YEAR(Table2[[#This Row],[Date]])</f>
        <v>2025</v>
      </c>
      <c r="J62" s="3">
        <f t="shared" si="0"/>
        <v>240000</v>
      </c>
    </row>
    <row r="63" spans="1:10" x14ac:dyDescent="0.35">
      <c r="A63" s="3" t="s">
        <v>148</v>
      </c>
      <c r="B63" s="3" t="s">
        <v>8</v>
      </c>
      <c r="C63" s="3">
        <v>12782</v>
      </c>
      <c r="D63" s="3">
        <v>0</v>
      </c>
      <c r="E63" s="3" t="s">
        <v>9</v>
      </c>
      <c r="F63" s="3" t="s">
        <v>87</v>
      </c>
      <c r="G63" s="3">
        <f>Table2[[#This Row],[Income]]-Table2[[#This Row],[Expense]]</f>
        <v>12782</v>
      </c>
      <c r="H63" s="3" t="str">
        <f>TEXT(Table2[[#This Row],[Date]],"MMM")</f>
        <v>Mar</v>
      </c>
      <c r="I63" s="3">
        <f>YEAR(Table2[[#This Row],[Date]])</f>
        <v>2026</v>
      </c>
      <c r="J63" s="3">
        <f t="shared" si="0"/>
        <v>0</v>
      </c>
    </row>
    <row r="64" spans="1:10" x14ac:dyDescent="0.35">
      <c r="A64" s="3" t="s">
        <v>121</v>
      </c>
      <c r="B64" s="3" t="s">
        <v>10</v>
      </c>
      <c r="C64" s="3">
        <v>0</v>
      </c>
      <c r="D64" s="3">
        <v>3484</v>
      </c>
      <c r="E64" s="3" t="s">
        <v>95</v>
      </c>
      <c r="F64" s="3" t="s">
        <v>94</v>
      </c>
      <c r="G64" s="3">
        <f>Table2[[#This Row],[Income]]-Table2[[#This Row],[Expense]]</f>
        <v>-3484</v>
      </c>
      <c r="H64" s="3" t="str">
        <f>TEXT(Table2[[#This Row],[Date]],"MMM")</f>
        <v>Nov</v>
      </c>
      <c r="I64" s="3">
        <f>YEAR(Table2[[#This Row],[Date]])</f>
        <v>2023</v>
      </c>
      <c r="J64" s="3">
        <f t="shared" si="0"/>
        <v>450000</v>
      </c>
    </row>
    <row r="65" spans="1:10" x14ac:dyDescent="0.35">
      <c r="A65" s="3" t="s">
        <v>149</v>
      </c>
      <c r="B65" s="3" t="s">
        <v>8</v>
      </c>
      <c r="C65" s="3">
        <v>37079</v>
      </c>
      <c r="D65" s="3">
        <v>0</v>
      </c>
      <c r="E65" s="3" t="s">
        <v>9</v>
      </c>
      <c r="F65" s="3" t="s">
        <v>87</v>
      </c>
      <c r="G65" s="3">
        <f>Table2[[#This Row],[Income]]-Table2[[#This Row],[Expense]]</f>
        <v>37079</v>
      </c>
      <c r="H65" s="3" t="str">
        <f>TEXT(Table2[[#This Row],[Date]],"MMM")</f>
        <v>Nov</v>
      </c>
      <c r="I65" s="3">
        <f>YEAR(Table2[[#This Row],[Date]])</f>
        <v>2026</v>
      </c>
      <c r="J65" s="3">
        <f t="shared" si="0"/>
        <v>0</v>
      </c>
    </row>
    <row r="66" spans="1:10" x14ac:dyDescent="0.35">
      <c r="A66" s="3" t="s">
        <v>112</v>
      </c>
      <c r="B66" s="3" t="s">
        <v>13</v>
      </c>
      <c r="C66" s="3">
        <v>58693</v>
      </c>
      <c r="D66" s="3">
        <v>0</v>
      </c>
      <c r="E66" s="3" t="s">
        <v>95</v>
      </c>
      <c r="F66" s="3" t="s">
        <v>88</v>
      </c>
      <c r="G66" s="3">
        <f>Table2[[#This Row],[Income]]-Table2[[#This Row],[Expense]]</f>
        <v>58693</v>
      </c>
      <c r="H66" s="3" t="str">
        <f>TEXT(Table2[[#This Row],[Date]],"MMM")</f>
        <v>Apr</v>
      </c>
      <c r="I66" s="3">
        <f>YEAR(Table2[[#This Row],[Date]])</f>
        <v>2024</v>
      </c>
      <c r="J66" s="3">
        <f t="shared" ref="J66:J129" si="1">IFERROR(VLOOKUP(B:B,tbl_budget,2,FALSE),0)</f>
        <v>0</v>
      </c>
    </row>
    <row r="67" spans="1:10" x14ac:dyDescent="0.35">
      <c r="A67" s="3" t="s">
        <v>105</v>
      </c>
      <c r="B67" s="3" t="s">
        <v>22</v>
      </c>
      <c r="C67" s="3">
        <v>0</v>
      </c>
      <c r="D67" s="3">
        <v>18654</v>
      </c>
      <c r="E67" s="3" t="s">
        <v>89</v>
      </c>
      <c r="F67" s="3" t="s">
        <v>98</v>
      </c>
      <c r="G67" s="3">
        <f>Table2[[#This Row],[Income]]-Table2[[#This Row],[Expense]]</f>
        <v>-18654</v>
      </c>
      <c r="H67" s="3" t="str">
        <f>TEXT(Table2[[#This Row],[Date]],"MMM")</f>
        <v>Mar</v>
      </c>
      <c r="I67" s="3">
        <f>YEAR(Table2[[#This Row],[Date]])</f>
        <v>2023</v>
      </c>
      <c r="J67" s="3">
        <f t="shared" si="1"/>
        <v>300000</v>
      </c>
    </row>
    <row r="68" spans="1:10" x14ac:dyDescent="0.35">
      <c r="A68" s="3" t="s">
        <v>150</v>
      </c>
      <c r="B68" s="3" t="s">
        <v>11</v>
      </c>
      <c r="C68" s="3">
        <v>0</v>
      </c>
      <c r="D68" s="3">
        <v>3491</v>
      </c>
      <c r="E68" s="3" t="s">
        <v>81</v>
      </c>
      <c r="F68" s="3" t="s">
        <v>93</v>
      </c>
      <c r="G68" s="3">
        <f>Table2[[#This Row],[Income]]-Table2[[#This Row],[Expense]]</f>
        <v>-3491</v>
      </c>
      <c r="H68" s="3" t="str">
        <f>TEXT(Table2[[#This Row],[Date]],"MMM")</f>
        <v>Dec</v>
      </c>
      <c r="I68" s="3">
        <f>YEAR(Table2[[#This Row],[Date]])</f>
        <v>2023</v>
      </c>
      <c r="J68" s="3">
        <f t="shared" si="1"/>
        <v>240000</v>
      </c>
    </row>
    <row r="69" spans="1:10" x14ac:dyDescent="0.35">
      <c r="A69" s="3" t="s">
        <v>151</v>
      </c>
      <c r="B69" s="3" t="s">
        <v>85</v>
      </c>
      <c r="C69" s="3">
        <v>39508</v>
      </c>
      <c r="D69" s="3">
        <v>0</v>
      </c>
      <c r="E69" s="3" t="s">
        <v>9</v>
      </c>
      <c r="F69" s="3" t="s">
        <v>86</v>
      </c>
      <c r="G69" s="3">
        <f>Table2[[#This Row],[Income]]-Table2[[#This Row],[Expense]]</f>
        <v>39508</v>
      </c>
      <c r="H69" s="3" t="str">
        <f>TEXT(Table2[[#This Row],[Date]],"MMM")</f>
        <v>Apr</v>
      </c>
      <c r="I69" s="3">
        <f>YEAR(Table2[[#This Row],[Date]])</f>
        <v>2023</v>
      </c>
      <c r="J69" s="3">
        <f t="shared" si="1"/>
        <v>100000</v>
      </c>
    </row>
    <row r="70" spans="1:10" x14ac:dyDescent="0.35">
      <c r="A70" s="3" t="s">
        <v>152</v>
      </c>
      <c r="B70" s="3" t="s">
        <v>91</v>
      </c>
      <c r="C70" s="3">
        <v>0</v>
      </c>
      <c r="D70" s="3">
        <v>18683</v>
      </c>
      <c r="E70" s="3" t="s">
        <v>81</v>
      </c>
      <c r="F70" s="3" t="s">
        <v>92</v>
      </c>
      <c r="G70" s="3">
        <f>Table2[[#This Row],[Income]]-Table2[[#This Row],[Expense]]</f>
        <v>-18683</v>
      </c>
      <c r="H70" s="3" t="str">
        <f>TEXT(Table2[[#This Row],[Date]],"MMM")</f>
        <v>Nov</v>
      </c>
      <c r="I70" s="3">
        <f>YEAR(Table2[[#This Row],[Date]])</f>
        <v>2024</v>
      </c>
      <c r="J70" s="3">
        <f t="shared" si="1"/>
        <v>460000</v>
      </c>
    </row>
    <row r="71" spans="1:10" x14ac:dyDescent="0.35">
      <c r="A71" s="3" t="s">
        <v>153</v>
      </c>
      <c r="B71" s="3" t="s">
        <v>22</v>
      </c>
      <c r="C71" s="3">
        <v>0</v>
      </c>
      <c r="D71" s="3">
        <v>17979</v>
      </c>
      <c r="E71" s="3" t="s">
        <v>12</v>
      </c>
      <c r="F71" s="3" t="s">
        <v>98</v>
      </c>
      <c r="G71" s="3">
        <f>Table2[[#This Row],[Income]]-Table2[[#This Row],[Expense]]</f>
        <v>-17979</v>
      </c>
      <c r="H71" s="3" t="str">
        <f>TEXT(Table2[[#This Row],[Date]],"MMM")</f>
        <v>May</v>
      </c>
      <c r="I71" s="3">
        <f>YEAR(Table2[[#This Row],[Date]])</f>
        <v>2023</v>
      </c>
      <c r="J71" s="3">
        <f t="shared" si="1"/>
        <v>300000</v>
      </c>
    </row>
    <row r="72" spans="1:10" x14ac:dyDescent="0.35">
      <c r="A72" s="3" t="s">
        <v>154</v>
      </c>
      <c r="B72" s="3" t="s">
        <v>10</v>
      </c>
      <c r="C72" s="3">
        <v>0</v>
      </c>
      <c r="D72" s="3">
        <v>22711</v>
      </c>
      <c r="E72" s="3" t="s">
        <v>95</v>
      </c>
      <c r="F72" s="3" t="s">
        <v>94</v>
      </c>
      <c r="G72" s="3">
        <f>Table2[[#This Row],[Income]]-Table2[[#This Row],[Expense]]</f>
        <v>-22711</v>
      </c>
      <c r="H72" s="3" t="str">
        <f>TEXT(Table2[[#This Row],[Date]],"MMM")</f>
        <v>Feb</v>
      </c>
      <c r="I72" s="3">
        <f>YEAR(Table2[[#This Row],[Date]])</f>
        <v>2024</v>
      </c>
      <c r="J72" s="3">
        <f t="shared" si="1"/>
        <v>450000</v>
      </c>
    </row>
    <row r="73" spans="1:10" x14ac:dyDescent="0.35">
      <c r="A73" s="3" t="s">
        <v>31</v>
      </c>
      <c r="B73" s="3" t="s">
        <v>80</v>
      </c>
      <c r="C73" s="3">
        <v>0</v>
      </c>
      <c r="D73" s="3">
        <v>7966</v>
      </c>
      <c r="E73" s="3" t="s">
        <v>95</v>
      </c>
      <c r="F73" s="3" t="s">
        <v>82</v>
      </c>
      <c r="G73" s="3">
        <f>Table2[[#This Row],[Income]]-Table2[[#This Row],[Expense]]</f>
        <v>-7966</v>
      </c>
      <c r="H73" s="3" t="str">
        <f>TEXT(Table2[[#This Row],[Date]],"MMM")</f>
        <v>Feb</v>
      </c>
      <c r="I73" s="3">
        <f>YEAR(Table2[[#This Row],[Date]])</f>
        <v>2025</v>
      </c>
      <c r="J73" s="3">
        <f t="shared" si="1"/>
        <v>270000</v>
      </c>
    </row>
    <row r="74" spans="1:10" x14ac:dyDescent="0.35">
      <c r="A74" s="3" t="s">
        <v>67</v>
      </c>
      <c r="B74" s="3" t="s">
        <v>20</v>
      </c>
      <c r="C74" s="3">
        <v>0</v>
      </c>
      <c r="D74" s="3">
        <v>21799</v>
      </c>
      <c r="E74" s="3" t="s">
        <v>81</v>
      </c>
      <c r="F74" s="3" t="s">
        <v>96</v>
      </c>
      <c r="G74" s="3">
        <f>Table2[[#This Row],[Income]]-Table2[[#This Row],[Expense]]</f>
        <v>-21799</v>
      </c>
      <c r="H74" s="3" t="str">
        <f>TEXT(Table2[[#This Row],[Date]],"MMM")</f>
        <v>Jul</v>
      </c>
      <c r="I74" s="3">
        <f>YEAR(Table2[[#This Row],[Date]])</f>
        <v>2025</v>
      </c>
      <c r="J74" s="3">
        <f t="shared" si="1"/>
        <v>400000</v>
      </c>
    </row>
    <row r="75" spans="1:10" x14ac:dyDescent="0.35">
      <c r="A75" s="3" t="s">
        <v>155</v>
      </c>
      <c r="B75" s="3" t="s">
        <v>80</v>
      </c>
      <c r="C75" s="3">
        <v>0</v>
      </c>
      <c r="D75" s="3">
        <v>19773</v>
      </c>
      <c r="E75" s="3" t="s">
        <v>95</v>
      </c>
      <c r="F75" s="3" t="s">
        <v>82</v>
      </c>
      <c r="G75" s="3">
        <f>Table2[[#This Row],[Income]]-Table2[[#This Row],[Expense]]</f>
        <v>-19773</v>
      </c>
      <c r="H75" s="3" t="str">
        <f>TEXT(Table2[[#This Row],[Date]],"MMM")</f>
        <v>May</v>
      </c>
      <c r="I75" s="3">
        <f>YEAR(Table2[[#This Row],[Date]])</f>
        <v>2024</v>
      </c>
      <c r="J75" s="3">
        <f t="shared" si="1"/>
        <v>270000</v>
      </c>
    </row>
    <row r="76" spans="1:10" x14ac:dyDescent="0.35">
      <c r="A76" s="3" t="s">
        <v>156</v>
      </c>
      <c r="B76" s="3" t="s">
        <v>91</v>
      </c>
      <c r="C76" s="3">
        <v>0</v>
      </c>
      <c r="D76" s="3">
        <v>18467</v>
      </c>
      <c r="E76" s="3" t="s">
        <v>12</v>
      </c>
      <c r="F76" s="3" t="s">
        <v>92</v>
      </c>
      <c r="G76" s="3">
        <f>Table2[[#This Row],[Income]]-Table2[[#This Row],[Expense]]</f>
        <v>-18467</v>
      </c>
      <c r="H76" s="3" t="str">
        <f>TEXT(Table2[[#This Row],[Date]],"MMM")</f>
        <v>Aug</v>
      </c>
      <c r="I76" s="3">
        <f>YEAR(Table2[[#This Row],[Date]])</f>
        <v>2026</v>
      </c>
      <c r="J76" s="3">
        <f t="shared" si="1"/>
        <v>460000</v>
      </c>
    </row>
    <row r="77" spans="1:10" x14ac:dyDescent="0.35">
      <c r="A77" s="3" t="s">
        <v>157</v>
      </c>
      <c r="B77" s="3" t="s">
        <v>83</v>
      </c>
      <c r="C77" s="3">
        <v>0</v>
      </c>
      <c r="D77" s="3">
        <v>16144</v>
      </c>
      <c r="E77" s="3" t="s">
        <v>89</v>
      </c>
      <c r="F77" s="3" t="s">
        <v>84</v>
      </c>
      <c r="G77" s="3">
        <f>Table2[[#This Row],[Income]]-Table2[[#This Row],[Expense]]</f>
        <v>-16144</v>
      </c>
      <c r="H77" s="3" t="str">
        <f>TEXT(Table2[[#This Row],[Date]],"MMM")</f>
        <v>Mar</v>
      </c>
      <c r="I77" s="3">
        <f>YEAR(Table2[[#This Row],[Date]])</f>
        <v>2023</v>
      </c>
      <c r="J77" s="3">
        <f t="shared" si="1"/>
        <v>300000</v>
      </c>
    </row>
    <row r="78" spans="1:10" x14ac:dyDescent="0.35">
      <c r="A78" s="3" t="s">
        <v>158</v>
      </c>
      <c r="B78" s="3" t="s">
        <v>7</v>
      </c>
      <c r="C78" s="3">
        <v>41612</v>
      </c>
      <c r="D78" s="3">
        <v>0</v>
      </c>
      <c r="E78" s="3" t="s">
        <v>9</v>
      </c>
      <c r="F78" s="3" t="s">
        <v>97</v>
      </c>
      <c r="G78" s="3">
        <f>Table2[[#This Row],[Income]]-Table2[[#This Row],[Expense]]</f>
        <v>41612</v>
      </c>
      <c r="H78" s="3" t="str">
        <f>TEXT(Table2[[#This Row],[Date]],"MMM")</f>
        <v>Feb</v>
      </c>
      <c r="I78" s="3">
        <f>YEAR(Table2[[#This Row],[Date]])</f>
        <v>2026</v>
      </c>
      <c r="J78" s="3">
        <f t="shared" si="1"/>
        <v>0</v>
      </c>
    </row>
    <row r="79" spans="1:10" x14ac:dyDescent="0.35">
      <c r="A79" s="3" t="s">
        <v>159</v>
      </c>
      <c r="B79" s="3" t="s">
        <v>13</v>
      </c>
      <c r="C79" s="3">
        <v>54498</v>
      </c>
      <c r="D79" s="3">
        <v>0</v>
      </c>
      <c r="E79" s="3" t="s">
        <v>12</v>
      </c>
      <c r="F79" s="3" t="s">
        <v>88</v>
      </c>
      <c r="G79" s="3">
        <f>Table2[[#This Row],[Income]]-Table2[[#This Row],[Expense]]</f>
        <v>54498</v>
      </c>
      <c r="H79" s="3" t="str">
        <f>TEXT(Table2[[#This Row],[Date]],"MMM")</f>
        <v>May</v>
      </c>
      <c r="I79" s="3">
        <f>YEAR(Table2[[#This Row],[Date]])</f>
        <v>2026</v>
      </c>
      <c r="J79" s="3">
        <f t="shared" si="1"/>
        <v>0</v>
      </c>
    </row>
    <row r="80" spans="1:10" x14ac:dyDescent="0.35">
      <c r="A80" s="3" t="s">
        <v>45</v>
      </c>
      <c r="B80" s="3" t="s">
        <v>80</v>
      </c>
      <c r="C80" s="3">
        <v>0</v>
      </c>
      <c r="D80" s="3">
        <v>12965</v>
      </c>
      <c r="E80" s="3" t="s">
        <v>81</v>
      </c>
      <c r="F80" s="3" t="s">
        <v>82</v>
      </c>
      <c r="G80" s="3">
        <f>Table2[[#This Row],[Income]]-Table2[[#This Row],[Expense]]</f>
        <v>-12965</v>
      </c>
      <c r="H80" s="3" t="str">
        <f>TEXT(Table2[[#This Row],[Date]],"MMM")</f>
        <v>Apr</v>
      </c>
      <c r="I80" s="3">
        <f>YEAR(Table2[[#This Row],[Date]])</f>
        <v>2025</v>
      </c>
      <c r="J80" s="3">
        <f t="shared" si="1"/>
        <v>270000</v>
      </c>
    </row>
    <row r="81" spans="1:10" x14ac:dyDescent="0.35">
      <c r="A81" s="3" t="s">
        <v>160</v>
      </c>
      <c r="B81" s="3" t="s">
        <v>22</v>
      </c>
      <c r="C81" s="3">
        <v>0</v>
      </c>
      <c r="D81" s="3">
        <v>4651</v>
      </c>
      <c r="E81" s="3" t="s">
        <v>95</v>
      </c>
      <c r="F81" s="3" t="s">
        <v>98</v>
      </c>
      <c r="G81" s="3">
        <f>Table2[[#This Row],[Income]]-Table2[[#This Row],[Expense]]</f>
        <v>-4651</v>
      </c>
      <c r="H81" s="3" t="str">
        <f>TEXT(Table2[[#This Row],[Date]],"MMM")</f>
        <v>Jun</v>
      </c>
      <c r="I81" s="3">
        <f>YEAR(Table2[[#This Row],[Date]])</f>
        <v>2024</v>
      </c>
      <c r="J81" s="3">
        <f t="shared" si="1"/>
        <v>300000</v>
      </c>
    </row>
    <row r="82" spans="1:10" x14ac:dyDescent="0.35">
      <c r="A82" s="3" t="s">
        <v>161</v>
      </c>
      <c r="B82" s="3" t="s">
        <v>91</v>
      </c>
      <c r="C82" s="3">
        <v>0</v>
      </c>
      <c r="D82" s="3">
        <v>17621</v>
      </c>
      <c r="E82" s="3" t="s">
        <v>81</v>
      </c>
      <c r="F82" s="3" t="s">
        <v>92</v>
      </c>
      <c r="G82" s="3">
        <f>Table2[[#This Row],[Income]]-Table2[[#This Row],[Expense]]</f>
        <v>-17621</v>
      </c>
      <c r="H82" s="3" t="str">
        <f>TEXT(Table2[[#This Row],[Date]],"MMM")</f>
        <v>Sep</v>
      </c>
      <c r="I82" s="3">
        <f>YEAR(Table2[[#This Row],[Date]])</f>
        <v>2026</v>
      </c>
      <c r="J82" s="3">
        <f t="shared" si="1"/>
        <v>460000</v>
      </c>
    </row>
    <row r="83" spans="1:10" x14ac:dyDescent="0.35">
      <c r="A83" s="3" t="s">
        <v>162</v>
      </c>
      <c r="B83" s="3" t="s">
        <v>20</v>
      </c>
      <c r="C83" s="3">
        <v>0</v>
      </c>
      <c r="D83" s="3">
        <v>7302</v>
      </c>
      <c r="E83" s="3" t="s">
        <v>89</v>
      </c>
      <c r="F83" s="3" t="s">
        <v>96</v>
      </c>
      <c r="G83" s="3">
        <f>Table2[[#This Row],[Income]]-Table2[[#This Row],[Expense]]</f>
        <v>-7302</v>
      </c>
      <c r="H83" s="3" t="str">
        <f>TEXT(Table2[[#This Row],[Date]],"MMM")</f>
        <v>Mar</v>
      </c>
      <c r="I83" s="3">
        <f>YEAR(Table2[[#This Row],[Date]])</f>
        <v>2024</v>
      </c>
      <c r="J83" s="3">
        <f t="shared" si="1"/>
        <v>400000</v>
      </c>
    </row>
    <row r="84" spans="1:10" x14ac:dyDescent="0.35">
      <c r="A84" s="3" t="s">
        <v>163</v>
      </c>
      <c r="B84" s="3" t="s">
        <v>8</v>
      </c>
      <c r="C84" s="3">
        <v>21442</v>
      </c>
      <c r="D84" s="3">
        <v>0</v>
      </c>
      <c r="E84" s="3" t="s">
        <v>89</v>
      </c>
      <c r="F84" s="3" t="s">
        <v>87</v>
      </c>
      <c r="G84" s="3">
        <f>Table2[[#This Row],[Income]]-Table2[[#This Row],[Expense]]</f>
        <v>21442</v>
      </c>
      <c r="H84" s="3" t="str">
        <f>TEXT(Table2[[#This Row],[Date]],"MMM")</f>
        <v>Jan</v>
      </c>
      <c r="I84" s="3">
        <f>YEAR(Table2[[#This Row],[Date]])</f>
        <v>2026</v>
      </c>
      <c r="J84" s="3">
        <f t="shared" si="1"/>
        <v>0</v>
      </c>
    </row>
    <row r="85" spans="1:10" x14ac:dyDescent="0.35">
      <c r="A85" s="3" t="s">
        <v>164</v>
      </c>
      <c r="B85" s="3" t="s">
        <v>85</v>
      </c>
      <c r="C85" s="3">
        <v>55938</v>
      </c>
      <c r="D85" s="3">
        <v>0</v>
      </c>
      <c r="E85" s="3" t="s">
        <v>12</v>
      </c>
      <c r="F85" s="3" t="s">
        <v>86</v>
      </c>
      <c r="G85" s="3">
        <f>Table2[[#This Row],[Income]]-Table2[[#This Row],[Expense]]</f>
        <v>55938</v>
      </c>
      <c r="H85" s="3" t="str">
        <f>TEXT(Table2[[#This Row],[Date]],"MMM")</f>
        <v>Nov</v>
      </c>
      <c r="I85" s="3">
        <f>YEAR(Table2[[#This Row],[Date]])</f>
        <v>2023</v>
      </c>
      <c r="J85" s="3">
        <f t="shared" si="1"/>
        <v>100000</v>
      </c>
    </row>
    <row r="86" spans="1:10" x14ac:dyDescent="0.35">
      <c r="A86" s="3" t="s">
        <v>165</v>
      </c>
      <c r="B86" s="3" t="s">
        <v>85</v>
      </c>
      <c r="C86" s="3">
        <v>39690</v>
      </c>
      <c r="D86" s="3">
        <v>0</v>
      </c>
      <c r="E86" s="3" t="s">
        <v>12</v>
      </c>
      <c r="F86" s="3" t="s">
        <v>86</v>
      </c>
      <c r="G86" s="3">
        <f>Table2[[#This Row],[Income]]-Table2[[#This Row],[Expense]]</f>
        <v>39690</v>
      </c>
      <c r="H86" s="3" t="str">
        <f>TEXT(Table2[[#This Row],[Date]],"MMM")</f>
        <v>Jan</v>
      </c>
      <c r="I86" s="3">
        <f>YEAR(Table2[[#This Row],[Date]])</f>
        <v>2023</v>
      </c>
      <c r="J86" s="3">
        <f t="shared" si="1"/>
        <v>100000</v>
      </c>
    </row>
    <row r="87" spans="1:10" x14ac:dyDescent="0.35">
      <c r="A87" s="3" t="s">
        <v>27</v>
      </c>
      <c r="B87" s="3" t="s">
        <v>11</v>
      </c>
      <c r="C87" s="3">
        <v>0</v>
      </c>
      <c r="D87" s="3">
        <v>21218</v>
      </c>
      <c r="E87" s="3" t="s">
        <v>95</v>
      </c>
      <c r="F87" s="3" t="s">
        <v>93</v>
      </c>
      <c r="G87" s="3">
        <f>Table2[[#This Row],[Income]]-Table2[[#This Row],[Expense]]</f>
        <v>-21218</v>
      </c>
      <c r="H87" s="3" t="str">
        <f>TEXT(Table2[[#This Row],[Date]],"MMM")</f>
        <v>Jan</v>
      </c>
      <c r="I87" s="3">
        <f>YEAR(Table2[[#This Row],[Date]])</f>
        <v>2025</v>
      </c>
      <c r="J87" s="3">
        <f t="shared" si="1"/>
        <v>240000</v>
      </c>
    </row>
    <row r="88" spans="1:10" x14ac:dyDescent="0.35">
      <c r="A88" s="3" t="s">
        <v>166</v>
      </c>
      <c r="B88" s="3" t="s">
        <v>11</v>
      </c>
      <c r="C88" s="3">
        <v>0</v>
      </c>
      <c r="D88" s="3">
        <v>9140</v>
      </c>
      <c r="E88" s="3" t="s">
        <v>12</v>
      </c>
      <c r="F88" s="3" t="s">
        <v>93</v>
      </c>
      <c r="G88" s="3">
        <f>Table2[[#This Row],[Income]]-Table2[[#This Row],[Expense]]</f>
        <v>-9140</v>
      </c>
      <c r="H88" s="3" t="str">
        <f>TEXT(Table2[[#This Row],[Date]],"MMM")</f>
        <v>Jan</v>
      </c>
      <c r="I88" s="3">
        <f>YEAR(Table2[[#This Row],[Date]])</f>
        <v>2024</v>
      </c>
      <c r="J88" s="3">
        <f t="shared" si="1"/>
        <v>240000</v>
      </c>
    </row>
    <row r="89" spans="1:10" x14ac:dyDescent="0.35">
      <c r="A89" s="3" t="s">
        <v>167</v>
      </c>
      <c r="B89" s="3" t="s">
        <v>20</v>
      </c>
      <c r="C89" s="3">
        <v>0</v>
      </c>
      <c r="D89" s="3">
        <v>13515</v>
      </c>
      <c r="E89" s="3" t="s">
        <v>89</v>
      </c>
      <c r="F89" s="3" t="s">
        <v>96</v>
      </c>
      <c r="G89" s="3">
        <f>Table2[[#This Row],[Income]]-Table2[[#This Row],[Expense]]</f>
        <v>-13515</v>
      </c>
      <c r="H89" s="3" t="str">
        <f>TEXT(Table2[[#This Row],[Date]],"MMM")</f>
        <v>Dec</v>
      </c>
      <c r="I89" s="3">
        <f>YEAR(Table2[[#This Row],[Date]])</f>
        <v>2024</v>
      </c>
      <c r="J89" s="3">
        <f t="shared" si="1"/>
        <v>400000</v>
      </c>
    </row>
    <row r="90" spans="1:10" x14ac:dyDescent="0.35">
      <c r="A90" s="3" t="s">
        <v>110</v>
      </c>
      <c r="B90" s="3" t="s">
        <v>22</v>
      </c>
      <c r="C90" s="3">
        <v>0</v>
      </c>
      <c r="D90" s="3">
        <v>531</v>
      </c>
      <c r="E90" s="3" t="s">
        <v>9</v>
      </c>
      <c r="F90" s="3" t="s">
        <v>98</v>
      </c>
      <c r="G90" s="3">
        <f>Table2[[#This Row],[Income]]-Table2[[#This Row],[Expense]]</f>
        <v>-531</v>
      </c>
      <c r="H90" s="3" t="str">
        <f>TEXT(Table2[[#This Row],[Date]],"MMM")</f>
        <v>Sep</v>
      </c>
      <c r="I90" s="3">
        <f>YEAR(Table2[[#This Row],[Date]])</f>
        <v>2024</v>
      </c>
      <c r="J90" s="3">
        <f t="shared" si="1"/>
        <v>300000</v>
      </c>
    </row>
    <row r="91" spans="1:10" x14ac:dyDescent="0.35">
      <c r="A91" s="3" t="s">
        <v>117</v>
      </c>
      <c r="B91" s="3" t="s">
        <v>11</v>
      </c>
      <c r="C91" s="3">
        <v>0</v>
      </c>
      <c r="D91" s="3">
        <v>3618</v>
      </c>
      <c r="E91" s="3" t="s">
        <v>9</v>
      </c>
      <c r="F91" s="3" t="s">
        <v>93</v>
      </c>
      <c r="G91" s="3">
        <f>Table2[[#This Row],[Income]]-Table2[[#This Row],[Expense]]</f>
        <v>-3618</v>
      </c>
      <c r="H91" s="3" t="str">
        <f>TEXT(Table2[[#This Row],[Date]],"MMM")</f>
        <v>Nov</v>
      </c>
      <c r="I91" s="3">
        <f>YEAR(Table2[[#This Row],[Date]])</f>
        <v>2025</v>
      </c>
      <c r="J91" s="3">
        <f t="shared" si="1"/>
        <v>240000</v>
      </c>
    </row>
    <row r="92" spans="1:10" x14ac:dyDescent="0.35">
      <c r="A92" s="3" t="s">
        <v>168</v>
      </c>
      <c r="B92" s="3" t="s">
        <v>11</v>
      </c>
      <c r="C92" s="3">
        <v>0</v>
      </c>
      <c r="D92" s="3">
        <v>11985</v>
      </c>
      <c r="E92" s="3" t="s">
        <v>81</v>
      </c>
      <c r="F92" s="3" t="s">
        <v>93</v>
      </c>
      <c r="G92" s="3">
        <f>Table2[[#This Row],[Income]]-Table2[[#This Row],[Expense]]</f>
        <v>-11985</v>
      </c>
      <c r="H92" s="3" t="str">
        <f>TEXT(Table2[[#This Row],[Date]],"MMM")</f>
        <v>Jan</v>
      </c>
      <c r="I92" s="3">
        <f>YEAR(Table2[[#This Row],[Date]])</f>
        <v>2024</v>
      </c>
      <c r="J92" s="3">
        <f t="shared" si="1"/>
        <v>240000</v>
      </c>
    </row>
    <row r="93" spans="1:10" x14ac:dyDescent="0.35">
      <c r="A93" s="3" t="s">
        <v>169</v>
      </c>
      <c r="B93" s="3" t="s">
        <v>10</v>
      </c>
      <c r="C93" s="3">
        <v>0</v>
      </c>
      <c r="D93" s="3">
        <v>2631</v>
      </c>
      <c r="E93" s="3" t="s">
        <v>95</v>
      </c>
      <c r="F93" s="3" t="s">
        <v>94</v>
      </c>
      <c r="G93" s="3">
        <f>Table2[[#This Row],[Income]]-Table2[[#This Row],[Expense]]</f>
        <v>-2631</v>
      </c>
      <c r="H93" s="3" t="str">
        <f>TEXT(Table2[[#This Row],[Date]],"MMM")</f>
        <v>Sep</v>
      </c>
      <c r="I93" s="3">
        <f>YEAR(Table2[[#This Row],[Date]])</f>
        <v>2024</v>
      </c>
      <c r="J93" s="3">
        <f t="shared" si="1"/>
        <v>450000</v>
      </c>
    </row>
    <row r="94" spans="1:10" x14ac:dyDescent="0.35">
      <c r="A94" s="3" t="s">
        <v>166</v>
      </c>
      <c r="B94" s="3" t="s">
        <v>22</v>
      </c>
      <c r="C94" s="3">
        <v>0</v>
      </c>
      <c r="D94" s="3">
        <v>4980</v>
      </c>
      <c r="E94" s="3" t="s">
        <v>81</v>
      </c>
      <c r="F94" s="3" t="s">
        <v>98</v>
      </c>
      <c r="G94" s="3">
        <f>Table2[[#This Row],[Income]]-Table2[[#This Row],[Expense]]</f>
        <v>-4980</v>
      </c>
      <c r="H94" s="3" t="str">
        <f>TEXT(Table2[[#This Row],[Date]],"MMM")</f>
        <v>Jan</v>
      </c>
      <c r="I94" s="3">
        <f>YEAR(Table2[[#This Row],[Date]])</f>
        <v>2024</v>
      </c>
      <c r="J94" s="3">
        <f t="shared" si="1"/>
        <v>300000</v>
      </c>
    </row>
    <row r="95" spans="1:10" x14ac:dyDescent="0.35">
      <c r="A95" s="3" t="s">
        <v>66</v>
      </c>
      <c r="B95" s="3" t="s">
        <v>13</v>
      </c>
      <c r="C95" s="3">
        <v>54325</v>
      </c>
      <c r="D95" s="3">
        <v>0</v>
      </c>
      <c r="E95" s="3" t="s">
        <v>95</v>
      </c>
      <c r="F95" s="3" t="s">
        <v>88</v>
      </c>
      <c r="G95" s="3">
        <f>Table2[[#This Row],[Income]]-Table2[[#This Row],[Expense]]</f>
        <v>54325</v>
      </c>
      <c r="H95" s="3" t="str">
        <f>TEXT(Table2[[#This Row],[Date]],"MMM")</f>
        <v>Jul</v>
      </c>
      <c r="I95" s="3">
        <f>YEAR(Table2[[#This Row],[Date]])</f>
        <v>2025</v>
      </c>
      <c r="J95" s="3">
        <f t="shared" si="1"/>
        <v>0</v>
      </c>
    </row>
    <row r="96" spans="1:10" x14ac:dyDescent="0.35">
      <c r="A96" s="3" t="s">
        <v>170</v>
      </c>
      <c r="B96" s="3" t="s">
        <v>83</v>
      </c>
      <c r="C96" s="3">
        <v>0</v>
      </c>
      <c r="D96" s="3">
        <v>18801</v>
      </c>
      <c r="E96" s="3" t="s">
        <v>12</v>
      </c>
      <c r="F96" s="3" t="s">
        <v>84</v>
      </c>
      <c r="G96" s="3">
        <f>Table2[[#This Row],[Income]]-Table2[[#This Row],[Expense]]</f>
        <v>-18801</v>
      </c>
      <c r="H96" s="3" t="str">
        <f>TEXT(Table2[[#This Row],[Date]],"MMM")</f>
        <v>Dec</v>
      </c>
      <c r="I96" s="3">
        <f>YEAR(Table2[[#This Row],[Date]])</f>
        <v>2023</v>
      </c>
      <c r="J96" s="3">
        <f t="shared" si="1"/>
        <v>300000</v>
      </c>
    </row>
    <row r="97" spans="1:10" x14ac:dyDescent="0.35">
      <c r="A97" s="3" t="s">
        <v>171</v>
      </c>
      <c r="B97" s="3" t="s">
        <v>91</v>
      </c>
      <c r="C97" s="3">
        <v>0</v>
      </c>
      <c r="D97" s="3">
        <v>5246</v>
      </c>
      <c r="E97" s="3" t="s">
        <v>9</v>
      </c>
      <c r="F97" s="3" t="s">
        <v>92</v>
      </c>
      <c r="G97" s="3">
        <f>Table2[[#This Row],[Income]]-Table2[[#This Row],[Expense]]</f>
        <v>-5246</v>
      </c>
      <c r="H97" s="3" t="str">
        <f>TEXT(Table2[[#This Row],[Date]],"MMM")</f>
        <v>Jun</v>
      </c>
      <c r="I97" s="3">
        <f>YEAR(Table2[[#This Row],[Date]])</f>
        <v>2023</v>
      </c>
      <c r="J97" s="3">
        <f t="shared" si="1"/>
        <v>460000</v>
      </c>
    </row>
    <row r="98" spans="1:10" x14ac:dyDescent="0.35">
      <c r="A98" s="3" t="s">
        <v>39</v>
      </c>
      <c r="B98" s="3" t="s">
        <v>14</v>
      </c>
      <c r="C98" s="3">
        <v>0</v>
      </c>
      <c r="D98" s="3">
        <v>14656</v>
      </c>
      <c r="E98" s="3" t="s">
        <v>9</v>
      </c>
      <c r="F98" s="3" t="s">
        <v>90</v>
      </c>
      <c r="G98" s="3">
        <f>Table2[[#This Row],[Income]]-Table2[[#This Row],[Expense]]</f>
        <v>-14656</v>
      </c>
      <c r="H98" s="3" t="str">
        <f>TEXT(Table2[[#This Row],[Date]],"MMM")</f>
        <v>Mar</v>
      </c>
      <c r="I98" s="3">
        <f>YEAR(Table2[[#This Row],[Date]])</f>
        <v>2025</v>
      </c>
      <c r="J98" s="3">
        <f t="shared" si="1"/>
        <v>250000</v>
      </c>
    </row>
    <row r="99" spans="1:10" x14ac:dyDescent="0.35">
      <c r="A99" s="3" t="s">
        <v>172</v>
      </c>
      <c r="B99" s="3" t="s">
        <v>83</v>
      </c>
      <c r="C99" s="3">
        <v>0</v>
      </c>
      <c r="D99" s="3">
        <v>3596</v>
      </c>
      <c r="E99" s="3" t="s">
        <v>89</v>
      </c>
      <c r="F99" s="3" t="s">
        <v>84</v>
      </c>
      <c r="G99" s="3">
        <f>Table2[[#This Row],[Income]]-Table2[[#This Row],[Expense]]</f>
        <v>-3596</v>
      </c>
      <c r="H99" s="3" t="str">
        <f>TEXT(Table2[[#This Row],[Date]],"MMM")</f>
        <v>Jun</v>
      </c>
      <c r="I99" s="3">
        <f>YEAR(Table2[[#This Row],[Date]])</f>
        <v>2026</v>
      </c>
      <c r="J99" s="3">
        <f t="shared" si="1"/>
        <v>300000</v>
      </c>
    </row>
    <row r="100" spans="1:10" x14ac:dyDescent="0.35">
      <c r="A100" s="3" t="s">
        <v>173</v>
      </c>
      <c r="B100" s="3" t="s">
        <v>8</v>
      </c>
      <c r="C100" s="3">
        <v>10150</v>
      </c>
      <c r="D100" s="3">
        <v>0</v>
      </c>
      <c r="E100" s="3" t="s">
        <v>81</v>
      </c>
      <c r="F100" s="3" t="s">
        <v>87</v>
      </c>
      <c r="G100" s="3">
        <f>Table2[[#This Row],[Income]]-Table2[[#This Row],[Expense]]</f>
        <v>10150</v>
      </c>
      <c r="H100" s="3" t="str">
        <f>TEXT(Table2[[#This Row],[Date]],"MMM")</f>
        <v>Nov</v>
      </c>
      <c r="I100" s="3">
        <f>YEAR(Table2[[#This Row],[Date]])</f>
        <v>2024</v>
      </c>
      <c r="J100" s="3">
        <f t="shared" si="1"/>
        <v>0</v>
      </c>
    </row>
    <row r="101" spans="1:10" x14ac:dyDescent="0.35">
      <c r="A101" s="3" t="s">
        <v>174</v>
      </c>
      <c r="B101" s="3" t="s">
        <v>8</v>
      </c>
      <c r="C101" s="3">
        <v>69905</v>
      </c>
      <c r="D101" s="3">
        <v>0</v>
      </c>
      <c r="E101" s="3" t="s">
        <v>9</v>
      </c>
      <c r="F101" s="3" t="s">
        <v>87</v>
      </c>
      <c r="G101" s="3">
        <f>Table2[[#This Row],[Income]]-Table2[[#This Row],[Expense]]</f>
        <v>69905</v>
      </c>
      <c r="H101" s="3" t="str">
        <f>TEXT(Table2[[#This Row],[Date]],"MMM")</f>
        <v>Nov</v>
      </c>
      <c r="I101" s="3">
        <f>YEAR(Table2[[#This Row],[Date]])</f>
        <v>2024</v>
      </c>
      <c r="J101" s="3">
        <f t="shared" si="1"/>
        <v>0</v>
      </c>
    </row>
    <row r="102" spans="1:10" x14ac:dyDescent="0.35">
      <c r="A102" s="3" t="s">
        <v>175</v>
      </c>
      <c r="B102" s="3" t="s">
        <v>22</v>
      </c>
      <c r="C102" s="3">
        <v>0</v>
      </c>
      <c r="D102" s="3">
        <v>6702</v>
      </c>
      <c r="E102" s="3" t="s">
        <v>89</v>
      </c>
      <c r="F102" s="3" t="s">
        <v>98</v>
      </c>
      <c r="G102" s="3">
        <f>Table2[[#This Row],[Income]]-Table2[[#This Row],[Expense]]</f>
        <v>-6702</v>
      </c>
      <c r="H102" s="3" t="str">
        <f>TEXT(Table2[[#This Row],[Date]],"MMM")</f>
        <v>Dec</v>
      </c>
      <c r="I102" s="3">
        <f>YEAR(Table2[[#This Row],[Date]])</f>
        <v>2025</v>
      </c>
      <c r="J102" s="3">
        <f t="shared" si="1"/>
        <v>300000</v>
      </c>
    </row>
    <row r="103" spans="1:10" x14ac:dyDescent="0.35">
      <c r="A103" s="3" t="s">
        <v>176</v>
      </c>
      <c r="B103" s="3" t="s">
        <v>11</v>
      </c>
      <c r="C103" s="3">
        <v>0</v>
      </c>
      <c r="D103" s="3">
        <v>4887</v>
      </c>
      <c r="E103" s="3" t="s">
        <v>12</v>
      </c>
      <c r="F103" s="3" t="s">
        <v>93</v>
      </c>
      <c r="G103" s="3">
        <f>Table2[[#This Row],[Income]]-Table2[[#This Row],[Expense]]</f>
        <v>-4887</v>
      </c>
      <c r="H103" s="3" t="str">
        <f>TEXT(Table2[[#This Row],[Date]],"MMM")</f>
        <v>Aug</v>
      </c>
      <c r="I103" s="3">
        <f>YEAR(Table2[[#This Row],[Date]])</f>
        <v>2023</v>
      </c>
      <c r="J103" s="3">
        <f t="shared" si="1"/>
        <v>240000</v>
      </c>
    </row>
    <row r="104" spans="1:10" x14ac:dyDescent="0.35">
      <c r="A104" s="3" t="s">
        <v>177</v>
      </c>
      <c r="B104" s="3" t="s">
        <v>83</v>
      </c>
      <c r="C104" s="3">
        <v>0</v>
      </c>
      <c r="D104" s="3">
        <v>3608</v>
      </c>
      <c r="E104" s="3" t="s">
        <v>12</v>
      </c>
      <c r="F104" s="3" t="s">
        <v>84</v>
      </c>
      <c r="G104" s="3">
        <f>Table2[[#This Row],[Income]]-Table2[[#This Row],[Expense]]</f>
        <v>-3608</v>
      </c>
      <c r="H104" s="3" t="str">
        <f>TEXT(Table2[[#This Row],[Date]],"MMM")</f>
        <v>Oct</v>
      </c>
      <c r="I104" s="3">
        <f>YEAR(Table2[[#This Row],[Date]])</f>
        <v>2026</v>
      </c>
      <c r="J104" s="3">
        <f t="shared" si="1"/>
        <v>300000</v>
      </c>
    </row>
    <row r="105" spans="1:10" x14ac:dyDescent="0.35">
      <c r="A105" s="3" t="s">
        <v>73</v>
      </c>
      <c r="B105" s="3" t="s">
        <v>8</v>
      </c>
      <c r="C105" s="3">
        <v>37741</v>
      </c>
      <c r="D105" s="3">
        <v>0</v>
      </c>
      <c r="E105" s="3" t="s">
        <v>89</v>
      </c>
      <c r="F105" s="3" t="s">
        <v>87</v>
      </c>
      <c r="G105" s="3">
        <f>Table2[[#This Row],[Income]]-Table2[[#This Row],[Expense]]</f>
        <v>37741</v>
      </c>
      <c r="H105" s="3" t="str">
        <f>TEXT(Table2[[#This Row],[Date]],"MMM")</f>
        <v>Aug</v>
      </c>
      <c r="I105" s="3">
        <f>YEAR(Table2[[#This Row],[Date]])</f>
        <v>2025</v>
      </c>
      <c r="J105" s="3">
        <f t="shared" si="1"/>
        <v>0</v>
      </c>
    </row>
    <row r="106" spans="1:10" x14ac:dyDescent="0.35">
      <c r="A106" s="3" t="s">
        <v>178</v>
      </c>
      <c r="B106" s="3" t="s">
        <v>91</v>
      </c>
      <c r="C106" s="3">
        <v>0</v>
      </c>
      <c r="D106" s="3">
        <v>7861</v>
      </c>
      <c r="E106" s="3" t="s">
        <v>81</v>
      </c>
      <c r="F106" s="3" t="s">
        <v>92</v>
      </c>
      <c r="G106" s="3">
        <f>Table2[[#This Row],[Income]]-Table2[[#This Row],[Expense]]</f>
        <v>-7861</v>
      </c>
      <c r="H106" s="3" t="str">
        <f>TEXT(Table2[[#This Row],[Date]],"MMM")</f>
        <v>Oct</v>
      </c>
      <c r="I106" s="3">
        <f>YEAR(Table2[[#This Row],[Date]])</f>
        <v>2025</v>
      </c>
      <c r="J106" s="3">
        <f t="shared" si="1"/>
        <v>460000</v>
      </c>
    </row>
    <row r="107" spans="1:10" x14ac:dyDescent="0.35">
      <c r="A107" s="3" t="s">
        <v>179</v>
      </c>
      <c r="B107" s="3" t="s">
        <v>85</v>
      </c>
      <c r="C107" s="3">
        <v>67343</v>
      </c>
      <c r="D107" s="3">
        <v>0</v>
      </c>
      <c r="E107" s="3" t="s">
        <v>95</v>
      </c>
      <c r="F107" s="3" t="s">
        <v>86</v>
      </c>
      <c r="G107" s="3">
        <f>Table2[[#This Row],[Income]]-Table2[[#This Row],[Expense]]</f>
        <v>67343</v>
      </c>
      <c r="H107" s="3" t="str">
        <f>TEXT(Table2[[#This Row],[Date]],"MMM")</f>
        <v>Mar</v>
      </c>
      <c r="I107" s="3">
        <f>YEAR(Table2[[#This Row],[Date]])</f>
        <v>2026</v>
      </c>
      <c r="J107" s="3">
        <f t="shared" si="1"/>
        <v>100000</v>
      </c>
    </row>
    <row r="108" spans="1:10" x14ac:dyDescent="0.35">
      <c r="A108" s="3" t="s">
        <v>180</v>
      </c>
      <c r="B108" s="3" t="s">
        <v>91</v>
      </c>
      <c r="C108" s="3">
        <v>0</v>
      </c>
      <c r="D108" s="3">
        <v>19856</v>
      </c>
      <c r="E108" s="3" t="s">
        <v>95</v>
      </c>
      <c r="F108" s="3" t="s">
        <v>92</v>
      </c>
      <c r="G108" s="3">
        <f>Table2[[#This Row],[Income]]-Table2[[#This Row],[Expense]]</f>
        <v>-19856</v>
      </c>
      <c r="H108" s="3" t="str">
        <f>TEXT(Table2[[#This Row],[Date]],"MMM")</f>
        <v>Dec</v>
      </c>
      <c r="I108" s="3">
        <f>YEAR(Table2[[#This Row],[Date]])</f>
        <v>2023</v>
      </c>
      <c r="J108" s="3">
        <f t="shared" si="1"/>
        <v>460000</v>
      </c>
    </row>
    <row r="109" spans="1:10" x14ac:dyDescent="0.35">
      <c r="A109" s="3" t="s">
        <v>181</v>
      </c>
      <c r="B109" s="3" t="s">
        <v>91</v>
      </c>
      <c r="C109" s="3">
        <v>0</v>
      </c>
      <c r="D109" s="3">
        <v>19412</v>
      </c>
      <c r="E109" s="3" t="s">
        <v>89</v>
      </c>
      <c r="F109" s="3" t="s">
        <v>92</v>
      </c>
      <c r="G109" s="3">
        <f>Table2[[#This Row],[Income]]-Table2[[#This Row],[Expense]]</f>
        <v>-19412</v>
      </c>
      <c r="H109" s="3" t="str">
        <f>TEXT(Table2[[#This Row],[Date]],"MMM")</f>
        <v>Jan</v>
      </c>
      <c r="I109" s="3">
        <f>YEAR(Table2[[#This Row],[Date]])</f>
        <v>2023</v>
      </c>
      <c r="J109" s="3">
        <f t="shared" si="1"/>
        <v>460000</v>
      </c>
    </row>
    <row r="110" spans="1:10" x14ac:dyDescent="0.35">
      <c r="A110" s="3" t="s">
        <v>23</v>
      </c>
      <c r="B110" s="3" t="s">
        <v>8</v>
      </c>
      <c r="C110" s="3">
        <v>17083</v>
      </c>
      <c r="D110" s="3">
        <v>0</v>
      </c>
      <c r="E110" s="3" t="s">
        <v>12</v>
      </c>
      <c r="F110" s="3" t="s">
        <v>87</v>
      </c>
      <c r="G110" s="3">
        <f>Table2[[#This Row],[Income]]-Table2[[#This Row],[Expense]]</f>
        <v>17083</v>
      </c>
      <c r="H110" s="3" t="str">
        <f>TEXT(Table2[[#This Row],[Date]],"MMM")</f>
        <v>Jan</v>
      </c>
      <c r="I110" s="3">
        <f>YEAR(Table2[[#This Row],[Date]])</f>
        <v>2025</v>
      </c>
      <c r="J110" s="3">
        <f t="shared" si="1"/>
        <v>0</v>
      </c>
    </row>
    <row r="111" spans="1:10" x14ac:dyDescent="0.35">
      <c r="A111" s="3" t="s">
        <v>35</v>
      </c>
      <c r="B111" s="3" t="s">
        <v>14</v>
      </c>
      <c r="C111" s="3">
        <v>0</v>
      </c>
      <c r="D111" s="3">
        <v>17509</v>
      </c>
      <c r="E111" s="3" t="s">
        <v>89</v>
      </c>
      <c r="F111" s="3" t="s">
        <v>90</v>
      </c>
      <c r="G111" s="3">
        <f>Table2[[#This Row],[Income]]-Table2[[#This Row],[Expense]]</f>
        <v>-17509</v>
      </c>
      <c r="H111" s="3" t="str">
        <f>TEXT(Table2[[#This Row],[Date]],"MMM")</f>
        <v>Mar</v>
      </c>
      <c r="I111" s="3">
        <f>YEAR(Table2[[#This Row],[Date]])</f>
        <v>2025</v>
      </c>
      <c r="J111" s="3">
        <f t="shared" si="1"/>
        <v>250000</v>
      </c>
    </row>
    <row r="112" spans="1:10" x14ac:dyDescent="0.35">
      <c r="A112" s="3" t="s">
        <v>182</v>
      </c>
      <c r="B112" s="3" t="s">
        <v>91</v>
      </c>
      <c r="C112" s="3">
        <v>0</v>
      </c>
      <c r="D112" s="3">
        <v>22805</v>
      </c>
      <c r="E112" s="3" t="s">
        <v>9</v>
      </c>
      <c r="F112" s="3" t="s">
        <v>92</v>
      </c>
      <c r="G112" s="3">
        <f>Table2[[#This Row],[Income]]-Table2[[#This Row],[Expense]]</f>
        <v>-22805</v>
      </c>
      <c r="H112" s="3" t="str">
        <f>TEXT(Table2[[#This Row],[Date]],"MMM")</f>
        <v>Mar</v>
      </c>
      <c r="I112" s="3">
        <f>YEAR(Table2[[#This Row],[Date]])</f>
        <v>2026</v>
      </c>
      <c r="J112" s="3">
        <f t="shared" si="1"/>
        <v>460000</v>
      </c>
    </row>
    <row r="113" spans="1:10" x14ac:dyDescent="0.35">
      <c r="A113" s="3" t="s">
        <v>183</v>
      </c>
      <c r="B113" s="3" t="s">
        <v>11</v>
      </c>
      <c r="C113" s="3">
        <v>0</v>
      </c>
      <c r="D113" s="3">
        <v>13001</v>
      </c>
      <c r="E113" s="3" t="s">
        <v>9</v>
      </c>
      <c r="F113" s="3" t="s">
        <v>93</v>
      </c>
      <c r="G113" s="3">
        <f>Table2[[#This Row],[Income]]-Table2[[#This Row],[Expense]]</f>
        <v>-13001</v>
      </c>
      <c r="H113" s="3" t="str">
        <f>TEXT(Table2[[#This Row],[Date]],"MMM")</f>
        <v>Nov</v>
      </c>
      <c r="I113" s="3">
        <f>YEAR(Table2[[#This Row],[Date]])</f>
        <v>2026</v>
      </c>
      <c r="J113" s="3">
        <f t="shared" si="1"/>
        <v>240000</v>
      </c>
    </row>
    <row r="114" spans="1:10" x14ac:dyDescent="0.35">
      <c r="A114" s="3" t="s">
        <v>184</v>
      </c>
      <c r="B114" s="3" t="s">
        <v>80</v>
      </c>
      <c r="C114" s="3">
        <v>0</v>
      </c>
      <c r="D114" s="3">
        <v>1577</v>
      </c>
      <c r="E114" s="3" t="s">
        <v>89</v>
      </c>
      <c r="F114" s="3" t="s">
        <v>82</v>
      </c>
      <c r="G114" s="3">
        <f>Table2[[#This Row],[Income]]-Table2[[#This Row],[Expense]]</f>
        <v>-1577</v>
      </c>
      <c r="H114" s="3" t="str">
        <f>TEXT(Table2[[#This Row],[Date]],"MMM")</f>
        <v>Jul</v>
      </c>
      <c r="I114" s="3">
        <f>YEAR(Table2[[#This Row],[Date]])</f>
        <v>2023</v>
      </c>
      <c r="J114" s="3">
        <f t="shared" si="1"/>
        <v>270000</v>
      </c>
    </row>
    <row r="115" spans="1:10" x14ac:dyDescent="0.35">
      <c r="A115" s="3" t="s">
        <v>185</v>
      </c>
      <c r="B115" s="3" t="s">
        <v>22</v>
      </c>
      <c r="C115" s="3">
        <v>0</v>
      </c>
      <c r="D115" s="3">
        <v>24861</v>
      </c>
      <c r="E115" s="3" t="s">
        <v>81</v>
      </c>
      <c r="F115" s="3" t="s">
        <v>98</v>
      </c>
      <c r="G115" s="3">
        <f>Table2[[#This Row],[Income]]-Table2[[#This Row],[Expense]]</f>
        <v>-24861</v>
      </c>
      <c r="H115" s="3" t="str">
        <f>TEXT(Table2[[#This Row],[Date]],"MMM")</f>
        <v>Nov</v>
      </c>
      <c r="I115" s="3">
        <f>YEAR(Table2[[#This Row],[Date]])</f>
        <v>2024</v>
      </c>
      <c r="J115" s="3">
        <f t="shared" si="1"/>
        <v>300000</v>
      </c>
    </row>
    <row r="116" spans="1:10" x14ac:dyDescent="0.35">
      <c r="A116" s="3" t="s">
        <v>186</v>
      </c>
      <c r="B116" s="3" t="s">
        <v>8</v>
      </c>
      <c r="C116" s="3">
        <v>28977</v>
      </c>
      <c r="D116" s="3">
        <v>0</v>
      </c>
      <c r="E116" s="3" t="s">
        <v>12</v>
      </c>
      <c r="F116" s="3" t="s">
        <v>87</v>
      </c>
      <c r="G116" s="3">
        <f>Table2[[#This Row],[Income]]-Table2[[#This Row],[Expense]]</f>
        <v>28977</v>
      </c>
      <c r="H116" s="3" t="str">
        <f>TEXT(Table2[[#This Row],[Date]],"MMM")</f>
        <v>Oct</v>
      </c>
      <c r="I116" s="3">
        <f>YEAR(Table2[[#This Row],[Date]])</f>
        <v>2024</v>
      </c>
      <c r="J116" s="3">
        <f t="shared" si="1"/>
        <v>0</v>
      </c>
    </row>
    <row r="117" spans="1:10" x14ac:dyDescent="0.35">
      <c r="A117" s="3" t="s">
        <v>187</v>
      </c>
      <c r="B117" s="3" t="s">
        <v>80</v>
      </c>
      <c r="C117" s="3">
        <v>0</v>
      </c>
      <c r="D117" s="3">
        <v>3917</v>
      </c>
      <c r="E117" s="3" t="s">
        <v>9</v>
      </c>
      <c r="F117" s="3" t="s">
        <v>82</v>
      </c>
      <c r="G117" s="3">
        <f>Table2[[#This Row],[Income]]-Table2[[#This Row],[Expense]]</f>
        <v>-3917</v>
      </c>
      <c r="H117" s="3" t="str">
        <f>TEXT(Table2[[#This Row],[Date]],"MMM")</f>
        <v>Apr</v>
      </c>
      <c r="I117" s="3">
        <f>YEAR(Table2[[#This Row],[Date]])</f>
        <v>2026</v>
      </c>
      <c r="J117" s="3">
        <f t="shared" si="1"/>
        <v>270000</v>
      </c>
    </row>
    <row r="118" spans="1:10" x14ac:dyDescent="0.35">
      <c r="A118" s="3" t="s">
        <v>188</v>
      </c>
      <c r="B118" s="3" t="s">
        <v>10</v>
      </c>
      <c r="C118" s="3">
        <v>0</v>
      </c>
      <c r="D118" s="3">
        <v>2723</v>
      </c>
      <c r="E118" s="3" t="s">
        <v>81</v>
      </c>
      <c r="F118" s="3" t="s">
        <v>94</v>
      </c>
      <c r="G118" s="3">
        <f>Table2[[#This Row],[Income]]-Table2[[#This Row],[Expense]]</f>
        <v>-2723</v>
      </c>
      <c r="H118" s="3" t="str">
        <f>TEXT(Table2[[#This Row],[Date]],"MMM")</f>
        <v>Apr</v>
      </c>
      <c r="I118" s="3">
        <f>YEAR(Table2[[#This Row],[Date]])</f>
        <v>2026</v>
      </c>
      <c r="J118" s="3">
        <f t="shared" si="1"/>
        <v>450000</v>
      </c>
    </row>
    <row r="119" spans="1:10" x14ac:dyDescent="0.35">
      <c r="A119" s="3" t="s">
        <v>189</v>
      </c>
      <c r="B119" s="3" t="s">
        <v>83</v>
      </c>
      <c r="C119" s="3">
        <v>0</v>
      </c>
      <c r="D119" s="3">
        <v>21159</v>
      </c>
      <c r="E119" s="3" t="s">
        <v>81</v>
      </c>
      <c r="F119" s="3" t="s">
        <v>84</v>
      </c>
      <c r="G119" s="3">
        <f>Table2[[#This Row],[Income]]-Table2[[#This Row],[Expense]]</f>
        <v>-21159</v>
      </c>
      <c r="H119" s="3" t="str">
        <f>TEXT(Table2[[#This Row],[Date]],"MMM")</f>
        <v>Oct</v>
      </c>
      <c r="I119" s="3">
        <f>YEAR(Table2[[#This Row],[Date]])</f>
        <v>2025</v>
      </c>
      <c r="J119" s="3">
        <f t="shared" si="1"/>
        <v>300000</v>
      </c>
    </row>
    <row r="120" spans="1:10" x14ac:dyDescent="0.35">
      <c r="A120" s="3" t="s">
        <v>190</v>
      </c>
      <c r="B120" s="3" t="s">
        <v>80</v>
      </c>
      <c r="C120" s="3">
        <v>0</v>
      </c>
      <c r="D120" s="3">
        <v>14192</v>
      </c>
      <c r="E120" s="3" t="s">
        <v>95</v>
      </c>
      <c r="F120" s="3" t="s">
        <v>82</v>
      </c>
      <c r="G120" s="3">
        <f>Table2[[#This Row],[Income]]-Table2[[#This Row],[Expense]]</f>
        <v>-14192</v>
      </c>
      <c r="H120" s="3" t="str">
        <f>TEXT(Table2[[#This Row],[Date]],"MMM")</f>
        <v>Sep</v>
      </c>
      <c r="I120" s="3">
        <f>YEAR(Table2[[#This Row],[Date]])</f>
        <v>2023</v>
      </c>
      <c r="J120" s="3">
        <f t="shared" si="1"/>
        <v>270000</v>
      </c>
    </row>
    <row r="121" spans="1:10" x14ac:dyDescent="0.35">
      <c r="A121" s="3" t="s">
        <v>56</v>
      </c>
      <c r="B121" s="3" t="s">
        <v>91</v>
      </c>
      <c r="C121" s="3">
        <v>0</v>
      </c>
      <c r="D121" s="3">
        <v>9739</v>
      </c>
      <c r="E121" s="3" t="s">
        <v>89</v>
      </c>
      <c r="F121" s="3" t="s">
        <v>92</v>
      </c>
      <c r="G121" s="3">
        <f>Table2[[#This Row],[Income]]-Table2[[#This Row],[Expense]]</f>
        <v>-9739</v>
      </c>
      <c r="H121" s="3" t="str">
        <f>TEXT(Table2[[#This Row],[Date]],"MMM")</f>
        <v>May</v>
      </c>
      <c r="I121" s="3">
        <f>YEAR(Table2[[#This Row],[Date]])</f>
        <v>2025</v>
      </c>
      <c r="J121" s="3">
        <f t="shared" si="1"/>
        <v>460000</v>
      </c>
    </row>
    <row r="122" spans="1:10" x14ac:dyDescent="0.35">
      <c r="A122" s="3" t="s">
        <v>191</v>
      </c>
      <c r="B122" s="3" t="s">
        <v>10</v>
      </c>
      <c r="C122" s="3">
        <v>0</v>
      </c>
      <c r="D122" s="3">
        <v>16212</v>
      </c>
      <c r="E122" s="3" t="s">
        <v>12</v>
      </c>
      <c r="F122" s="3" t="s">
        <v>94</v>
      </c>
      <c r="G122" s="3">
        <f>Table2[[#This Row],[Income]]-Table2[[#This Row],[Expense]]</f>
        <v>-16212</v>
      </c>
      <c r="H122" s="3" t="str">
        <f>TEXT(Table2[[#This Row],[Date]],"MMM")</f>
        <v>Jun</v>
      </c>
      <c r="I122" s="3">
        <f>YEAR(Table2[[#This Row],[Date]])</f>
        <v>2024</v>
      </c>
      <c r="J122" s="3">
        <f t="shared" si="1"/>
        <v>450000</v>
      </c>
    </row>
    <row r="123" spans="1:10" x14ac:dyDescent="0.35">
      <c r="A123" s="3" t="s">
        <v>192</v>
      </c>
      <c r="B123" s="3" t="s">
        <v>13</v>
      </c>
      <c r="C123" s="3">
        <v>63052</v>
      </c>
      <c r="D123" s="3">
        <v>0</v>
      </c>
      <c r="E123" s="3" t="s">
        <v>9</v>
      </c>
      <c r="F123" s="3" t="s">
        <v>88</v>
      </c>
      <c r="G123" s="3">
        <f>Table2[[#This Row],[Income]]-Table2[[#This Row],[Expense]]</f>
        <v>63052</v>
      </c>
      <c r="H123" s="3" t="str">
        <f>TEXT(Table2[[#This Row],[Date]],"MMM")</f>
        <v>Feb</v>
      </c>
      <c r="I123" s="3">
        <f>YEAR(Table2[[#This Row],[Date]])</f>
        <v>2024</v>
      </c>
      <c r="J123" s="3">
        <f t="shared" si="1"/>
        <v>0</v>
      </c>
    </row>
    <row r="124" spans="1:10" x14ac:dyDescent="0.35">
      <c r="A124" s="3" t="s">
        <v>193</v>
      </c>
      <c r="B124" s="3" t="s">
        <v>83</v>
      </c>
      <c r="C124" s="3">
        <v>0</v>
      </c>
      <c r="D124" s="3">
        <v>22258</v>
      </c>
      <c r="E124" s="3" t="s">
        <v>12</v>
      </c>
      <c r="F124" s="3" t="s">
        <v>84</v>
      </c>
      <c r="G124" s="3">
        <f>Table2[[#This Row],[Income]]-Table2[[#This Row],[Expense]]</f>
        <v>-22258</v>
      </c>
      <c r="H124" s="3" t="str">
        <f>TEXT(Table2[[#This Row],[Date]],"MMM")</f>
        <v>Sep</v>
      </c>
      <c r="I124" s="3">
        <f>YEAR(Table2[[#This Row],[Date]])</f>
        <v>2026</v>
      </c>
      <c r="J124" s="3">
        <f t="shared" si="1"/>
        <v>300000</v>
      </c>
    </row>
    <row r="125" spans="1:10" x14ac:dyDescent="0.35">
      <c r="A125" s="3" t="s">
        <v>47</v>
      </c>
      <c r="B125" s="3" t="s">
        <v>22</v>
      </c>
      <c r="C125" s="3">
        <v>0</v>
      </c>
      <c r="D125" s="3">
        <v>1754</v>
      </c>
      <c r="E125" s="3" t="s">
        <v>9</v>
      </c>
      <c r="F125" s="3" t="s">
        <v>98</v>
      </c>
      <c r="G125" s="3">
        <f>Table2[[#This Row],[Income]]-Table2[[#This Row],[Expense]]</f>
        <v>-1754</v>
      </c>
      <c r="H125" s="3" t="str">
        <f>TEXT(Table2[[#This Row],[Date]],"MMM")</f>
        <v>Apr</v>
      </c>
      <c r="I125" s="3">
        <f>YEAR(Table2[[#This Row],[Date]])</f>
        <v>2025</v>
      </c>
      <c r="J125" s="3">
        <f t="shared" si="1"/>
        <v>300000</v>
      </c>
    </row>
    <row r="126" spans="1:10" x14ac:dyDescent="0.35">
      <c r="A126" s="3" t="s">
        <v>194</v>
      </c>
      <c r="B126" s="3" t="s">
        <v>85</v>
      </c>
      <c r="C126" s="3">
        <v>38125</v>
      </c>
      <c r="D126" s="3">
        <v>0</v>
      </c>
      <c r="E126" s="3" t="s">
        <v>12</v>
      </c>
      <c r="F126" s="3" t="s">
        <v>86</v>
      </c>
      <c r="G126" s="3">
        <f>Table2[[#This Row],[Income]]-Table2[[#This Row],[Expense]]</f>
        <v>38125</v>
      </c>
      <c r="H126" s="3" t="str">
        <f>TEXT(Table2[[#This Row],[Date]],"MMM")</f>
        <v>Feb</v>
      </c>
      <c r="I126" s="3">
        <f>YEAR(Table2[[#This Row],[Date]])</f>
        <v>2024</v>
      </c>
      <c r="J126" s="3">
        <f t="shared" si="1"/>
        <v>100000</v>
      </c>
    </row>
    <row r="127" spans="1:10" x14ac:dyDescent="0.35">
      <c r="A127" s="3" t="s">
        <v>195</v>
      </c>
      <c r="B127" s="3" t="s">
        <v>14</v>
      </c>
      <c r="C127" s="3">
        <v>0</v>
      </c>
      <c r="D127" s="3">
        <v>20916</v>
      </c>
      <c r="E127" s="3" t="s">
        <v>95</v>
      </c>
      <c r="F127" s="3" t="s">
        <v>90</v>
      </c>
      <c r="G127" s="3">
        <f>Table2[[#This Row],[Income]]-Table2[[#This Row],[Expense]]</f>
        <v>-20916</v>
      </c>
      <c r="H127" s="3" t="str">
        <f>TEXT(Table2[[#This Row],[Date]],"MMM")</f>
        <v>Mar</v>
      </c>
      <c r="I127" s="3">
        <f>YEAR(Table2[[#This Row],[Date]])</f>
        <v>2024</v>
      </c>
      <c r="J127" s="3">
        <f t="shared" si="1"/>
        <v>250000</v>
      </c>
    </row>
    <row r="128" spans="1:10" x14ac:dyDescent="0.35">
      <c r="A128" s="3" t="s">
        <v>196</v>
      </c>
      <c r="B128" s="3" t="s">
        <v>80</v>
      </c>
      <c r="C128" s="3">
        <v>0</v>
      </c>
      <c r="D128" s="3">
        <v>10986</v>
      </c>
      <c r="E128" s="3" t="s">
        <v>81</v>
      </c>
      <c r="F128" s="3" t="s">
        <v>82</v>
      </c>
      <c r="G128" s="3">
        <f>Table2[[#This Row],[Income]]-Table2[[#This Row],[Expense]]</f>
        <v>-10986</v>
      </c>
      <c r="H128" s="3" t="str">
        <f>TEXT(Table2[[#This Row],[Date]],"MMM")</f>
        <v>Apr</v>
      </c>
      <c r="I128" s="3">
        <f>YEAR(Table2[[#This Row],[Date]])</f>
        <v>2024</v>
      </c>
      <c r="J128" s="3">
        <f t="shared" si="1"/>
        <v>270000</v>
      </c>
    </row>
    <row r="129" spans="1:10" x14ac:dyDescent="0.35">
      <c r="A129" s="3" t="s">
        <v>197</v>
      </c>
      <c r="B129" s="3" t="s">
        <v>85</v>
      </c>
      <c r="C129" s="3">
        <v>20779</v>
      </c>
      <c r="D129" s="3">
        <v>0</v>
      </c>
      <c r="E129" s="3" t="s">
        <v>89</v>
      </c>
      <c r="F129" s="3" t="s">
        <v>86</v>
      </c>
      <c r="G129" s="3">
        <f>Table2[[#This Row],[Income]]-Table2[[#This Row],[Expense]]</f>
        <v>20779</v>
      </c>
      <c r="H129" s="3" t="str">
        <f>TEXT(Table2[[#This Row],[Date]],"MMM")</f>
        <v>Dec</v>
      </c>
      <c r="I129" s="3">
        <f>YEAR(Table2[[#This Row],[Date]])</f>
        <v>2026</v>
      </c>
      <c r="J129" s="3">
        <f t="shared" si="1"/>
        <v>100000</v>
      </c>
    </row>
    <row r="130" spans="1:10" x14ac:dyDescent="0.35">
      <c r="A130" s="3" t="s">
        <v>198</v>
      </c>
      <c r="B130" s="3" t="s">
        <v>10</v>
      </c>
      <c r="C130" s="3">
        <v>0</v>
      </c>
      <c r="D130" s="3">
        <v>17845</v>
      </c>
      <c r="E130" s="3" t="s">
        <v>89</v>
      </c>
      <c r="F130" s="3" t="s">
        <v>94</v>
      </c>
      <c r="G130" s="3">
        <f>Table2[[#This Row],[Income]]-Table2[[#This Row],[Expense]]</f>
        <v>-17845</v>
      </c>
      <c r="H130" s="3" t="str">
        <f>TEXT(Table2[[#This Row],[Date]],"MMM")</f>
        <v>Feb</v>
      </c>
      <c r="I130" s="3">
        <f>YEAR(Table2[[#This Row],[Date]])</f>
        <v>2023</v>
      </c>
      <c r="J130" s="3">
        <f t="shared" ref="J130:J193" si="2">IFERROR(VLOOKUP(B:B,tbl_budget,2,FALSE),0)</f>
        <v>450000</v>
      </c>
    </row>
    <row r="131" spans="1:10" x14ac:dyDescent="0.35">
      <c r="A131" s="3" t="s">
        <v>62</v>
      </c>
      <c r="B131" s="3" t="s">
        <v>14</v>
      </c>
      <c r="C131" s="3">
        <v>0</v>
      </c>
      <c r="D131" s="3">
        <v>17130</v>
      </c>
      <c r="E131" s="3" t="s">
        <v>89</v>
      </c>
      <c r="F131" s="3" t="s">
        <v>90</v>
      </c>
      <c r="G131" s="3">
        <f>Table2[[#This Row],[Income]]-Table2[[#This Row],[Expense]]</f>
        <v>-17130</v>
      </c>
      <c r="H131" s="3" t="str">
        <f>TEXT(Table2[[#This Row],[Date]],"MMM")</f>
        <v>Jun</v>
      </c>
      <c r="I131" s="3">
        <f>YEAR(Table2[[#This Row],[Date]])</f>
        <v>2025</v>
      </c>
      <c r="J131" s="3">
        <f t="shared" si="2"/>
        <v>250000</v>
      </c>
    </row>
    <row r="132" spans="1:10" x14ac:dyDescent="0.35">
      <c r="A132" s="3" t="s">
        <v>199</v>
      </c>
      <c r="B132" s="3" t="s">
        <v>22</v>
      </c>
      <c r="C132" s="3">
        <v>0</v>
      </c>
      <c r="D132" s="3">
        <v>3961</v>
      </c>
      <c r="E132" s="3" t="s">
        <v>81</v>
      </c>
      <c r="F132" s="3" t="s">
        <v>98</v>
      </c>
      <c r="G132" s="3">
        <f>Table2[[#This Row],[Income]]-Table2[[#This Row],[Expense]]</f>
        <v>-3961</v>
      </c>
      <c r="H132" s="3" t="str">
        <f>TEXT(Table2[[#This Row],[Date]],"MMM")</f>
        <v>Mar</v>
      </c>
      <c r="I132" s="3">
        <f>YEAR(Table2[[#This Row],[Date]])</f>
        <v>2024</v>
      </c>
      <c r="J132" s="3">
        <f t="shared" si="2"/>
        <v>300000</v>
      </c>
    </row>
    <row r="133" spans="1:10" x14ac:dyDescent="0.35">
      <c r="A133" s="3" t="s">
        <v>120</v>
      </c>
      <c r="B133" s="3" t="s">
        <v>91</v>
      </c>
      <c r="C133" s="3">
        <v>0</v>
      </c>
      <c r="D133" s="3">
        <v>9711</v>
      </c>
      <c r="E133" s="3" t="s">
        <v>89</v>
      </c>
      <c r="F133" s="3" t="s">
        <v>92</v>
      </c>
      <c r="G133" s="3">
        <f>Table2[[#This Row],[Income]]-Table2[[#This Row],[Expense]]</f>
        <v>-9711</v>
      </c>
      <c r="H133" s="3" t="str">
        <f>TEXT(Table2[[#This Row],[Date]],"MMM")</f>
        <v>Jan</v>
      </c>
      <c r="I133" s="3">
        <f>YEAR(Table2[[#This Row],[Date]])</f>
        <v>2023</v>
      </c>
      <c r="J133" s="3">
        <f t="shared" si="2"/>
        <v>460000</v>
      </c>
    </row>
    <row r="134" spans="1:10" x14ac:dyDescent="0.35">
      <c r="A134" s="3" t="s">
        <v>200</v>
      </c>
      <c r="B134" s="3" t="s">
        <v>11</v>
      </c>
      <c r="C134" s="3">
        <v>0</v>
      </c>
      <c r="D134" s="3">
        <v>17358</v>
      </c>
      <c r="E134" s="3" t="s">
        <v>12</v>
      </c>
      <c r="F134" s="3" t="s">
        <v>93</v>
      </c>
      <c r="G134" s="3">
        <f>Table2[[#This Row],[Income]]-Table2[[#This Row],[Expense]]</f>
        <v>-17358</v>
      </c>
      <c r="H134" s="3" t="str">
        <f>TEXT(Table2[[#This Row],[Date]],"MMM")</f>
        <v>Mar</v>
      </c>
      <c r="I134" s="3">
        <f>YEAR(Table2[[#This Row],[Date]])</f>
        <v>2024</v>
      </c>
      <c r="J134" s="3">
        <f t="shared" si="2"/>
        <v>240000</v>
      </c>
    </row>
    <row r="135" spans="1:10" x14ac:dyDescent="0.35">
      <c r="A135" s="3" t="s">
        <v>149</v>
      </c>
      <c r="B135" s="3" t="s">
        <v>7</v>
      </c>
      <c r="C135" s="3">
        <v>57212</v>
      </c>
      <c r="D135" s="3">
        <v>0</v>
      </c>
      <c r="E135" s="3" t="s">
        <v>9</v>
      </c>
      <c r="F135" s="3" t="s">
        <v>97</v>
      </c>
      <c r="G135" s="3">
        <f>Table2[[#This Row],[Income]]-Table2[[#This Row],[Expense]]</f>
        <v>57212</v>
      </c>
      <c r="H135" s="3" t="str">
        <f>TEXT(Table2[[#This Row],[Date]],"MMM")</f>
        <v>Nov</v>
      </c>
      <c r="I135" s="3">
        <f>YEAR(Table2[[#This Row],[Date]])</f>
        <v>2026</v>
      </c>
      <c r="J135" s="3">
        <f t="shared" si="2"/>
        <v>0</v>
      </c>
    </row>
    <row r="136" spans="1:10" x14ac:dyDescent="0.35">
      <c r="A136" s="3" t="s">
        <v>55</v>
      </c>
      <c r="B136" s="3" t="s">
        <v>11</v>
      </c>
      <c r="C136" s="3">
        <v>0</v>
      </c>
      <c r="D136" s="3">
        <v>11758</v>
      </c>
      <c r="E136" s="3" t="s">
        <v>89</v>
      </c>
      <c r="F136" s="3" t="s">
        <v>93</v>
      </c>
      <c r="G136" s="3">
        <f>Table2[[#This Row],[Income]]-Table2[[#This Row],[Expense]]</f>
        <v>-11758</v>
      </c>
      <c r="H136" s="3" t="str">
        <f>TEXT(Table2[[#This Row],[Date]],"MMM")</f>
        <v>May</v>
      </c>
      <c r="I136" s="3">
        <f>YEAR(Table2[[#This Row],[Date]])</f>
        <v>2025</v>
      </c>
      <c r="J136" s="3">
        <f t="shared" si="2"/>
        <v>240000</v>
      </c>
    </row>
    <row r="137" spans="1:10" x14ac:dyDescent="0.35">
      <c r="A137" s="3" t="s">
        <v>201</v>
      </c>
      <c r="B137" s="3" t="s">
        <v>11</v>
      </c>
      <c r="C137" s="3">
        <v>0</v>
      </c>
      <c r="D137" s="3">
        <v>3831</v>
      </c>
      <c r="E137" s="3" t="s">
        <v>95</v>
      </c>
      <c r="F137" s="3" t="s">
        <v>93</v>
      </c>
      <c r="G137" s="3">
        <f>Table2[[#This Row],[Income]]-Table2[[#This Row],[Expense]]</f>
        <v>-3831</v>
      </c>
      <c r="H137" s="3" t="str">
        <f>TEXT(Table2[[#This Row],[Date]],"MMM")</f>
        <v>Sep</v>
      </c>
      <c r="I137" s="3">
        <f>YEAR(Table2[[#This Row],[Date]])</f>
        <v>2023</v>
      </c>
      <c r="J137" s="3">
        <f t="shared" si="2"/>
        <v>240000</v>
      </c>
    </row>
    <row r="138" spans="1:10" x14ac:dyDescent="0.35">
      <c r="A138" s="3" t="s">
        <v>202</v>
      </c>
      <c r="B138" s="3" t="s">
        <v>10</v>
      </c>
      <c r="C138" s="3">
        <v>0</v>
      </c>
      <c r="D138" s="3">
        <v>12881</v>
      </c>
      <c r="E138" s="3" t="s">
        <v>12</v>
      </c>
      <c r="F138" s="3" t="s">
        <v>94</v>
      </c>
      <c r="G138" s="3">
        <f>Table2[[#This Row],[Income]]-Table2[[#This Row],[Expense]]</f>
        <v>-12881</v>
      </c>
      <c r="H138" s="3" t="str">
        <f>TEXT(Table2[[#This Row],[Date]],"MMM")</f>
        <v>Dec</v>
      </c>
      <c r="I138" s="3">
        <f>YEAR(Table2[[#This Row],[Date]])</f>
        <v>2026</v>
      </c>
      <c r="J138" s="3">
        <f t="shared" si="2"/>
        <v>450000</v>
      </c>
    </row>
    <row r="139" spans="1:10" x14ac:dyDescent="0.35">
      <c r="A139" s="3" t="s">
        <v>203</v>
      </c>
      <c r="B139" s="3" t="s">
        <v>7</v>
      </c>
      <c r="C139" s="3">
        <v>23269</v>
      </c>
      <c r="D139" s="3">
        <v>0</v>
      </c>
      <c r="E139" s="3" t="s">
        <v>9</v>
      </c>
      <c r="F139" s="3" t="s">
        <v>97</v>
      </c>
      <c r="G139" s="3">
        <f>Table2[[#This Row],[Income]]-Table2[[#This Row],[Expense]]</f>
        <v>23269</v>
      </c>
      <c r="H139" s="3" t="str">
        <f>TEXT(Table2[[#This Row],[Date]],"MMM")</f>
        <v>Jun</v>
      </c>
      <c r="I139" s="3">
        <f>YEAR(Table2[[#This Row],[Date]])</f>
        <v>2024</v>
      </c>
      <c r="J139" s="3">
        <f t="shared" si="2"/>
        <v>0</v>
      </c>
    </row>
    <row r="140" spans="1:10" x14ac:dyDescent="0.35">
      <c r="A140" s="3" t="s">
        <v>38</v>
      </c>
      <c r="B140" s="3" t="s">
        <v>80</v>
      </c>
      <c r="C140" s="3">
        <v>0</v>
      </c>
      <c r="D140" s="3">
        <v>20400</v>
      </c>
      <c r="E140" s="3" t="s">
        <v>12</v>
      </c>
      <c r="F140" s="3" t="s">
        <v>82</v>
      </c>
      <c r="G140" s="3">
        <f>Table2[[#This Row],[Income]]-Table2[[#This Row],[Expense]]</f>
        <v>-20400</v>
      </c>
      <c r="H140" s="3" t="str">
        <f>TEXT(Table2[[#This Row],[Date]],"MMM")</f>
        <v>Mar</v>
      </c>
      <c r="I140" s="3">
        <f>YEAR(Table2[[#This Row],[Date]])</f>
        <v>2025</v>
      </c>
      <c r="J140" s="3">
        <f t="shared" si="2"/>
        <v>270000</v>
      </c>
    </row>
    <row r="141" spans="1:10" x14ac:dyDescent="0.35">
      <c r="A141" s="3" t="s">
        <v>204</v>
      </c>
      <c r="B141" s="3" t="s">
        <v>83</v>
      </c>
      <c r="C141" s="3">
        <v>0</v>
      </c>
      <c r="D141" s="3">
        <v>20551</v>
      </c>
      <c r="E141" s="3" t="s">
        <v>12</v>
      </c>
      <c r="F141" s="3" t="s">
        <v>84</v>
      </c>
      <c r="G141" s="3">
        <f>Table2[[#This Row],[Income]]-Table2[[#This Row],[Expense]]</f>
        <v>-20551</v>
      </c>
      <c r="H141" s="3" t="str">
        <f>TEXT(Table2[[#This Row],[Date]],"MMM")</f>
        <v>Jul</v>
      </c>
      <c r="I141" s="3">
        <f>YEAR(Table2[[#This Row],[Date]])</f>
        <v>2024</v>
      </c>
      <c r="J141" s="3">
        <f t="shared" si="2"/>
        <v>300000</v>
      </c>
    </row>
    <row r="142" spans="1:10" x14ac:dyDescent="0.35">
      <c r="A142" s="3" t="s">
        <v>205</v>
      </c>
      <c r="B142" s="3" t="s">
        <v>83</v>
      </c>
      <c r="C142" s="3">
        <v>0</v>
      </c>
      <c r="D142" s="3">
        <v>20588</v>
      </c>
      <c r="E142" s="3" t="s">
        <v>12</v>
      </c>
      <c r="F142" s="3" t="s">
        <v>84</v>
      </c>
      <c r="G142" s="3">
        <f>Table2[[#This Row],[Income]]-Table2[[#This Row],[Expense]]</f>
        <v>-20588</v>
      </c>
      <c r="H142" s="3" t="str">
        <f>TEXT(Table2[[#This Row],[Date]],"MMM")</f>
        <v>Sep</v>
      </c>
      <c r="I142" s="3">
        <f>YEAR(Table2[[#This Row],[Date]])</f>
        <v>2025</v>
      </c>
      <c r="J142" s="3">
        <f t="shared" si="2"/>
        <v>300000</v>
      </c>
    </row>
    <row r="143" spans="1:10" x14ac:dyDescent="0.35">
      <c r="A143" s="3" t="s">
        <v>168</v>
      </c>
      <c r="B143" s="3" t="s">
        <v>10</v>
      </c>
      <c r="C143" s="3">
        <v>0</v>
      </c>
      <c r="D143" s="3">
        <v>6365</v>
      </c>
      <c r="E143" s="3" t="s">
        <v>9</v>
      </c>
      <c r="F143" s="3" t="s">
        <v>94</v>
      </c>
      <c r="G143" s="3">
        <f>Table2[[#This Row],[Income]]-Table2[[#This Row],[Expense]]</f>
        <v>-6365</v>
      </c>
      <c r="H143" s="3" t="str">
        <f>TEXT(Table2[[#This Row],[Date]],"MMM")</f>
        <v>Jan</v>
      </c>
      <c r="I143" s="3">
        <f>YEAR(Table2[[#This Row],[Date]])</f>
        <v>2024</v>
      </c>
      <c r="J143" s="3">
        <f t="shared" si="2"/>
        <v>450000</v>
      </c>
    </row>
    <row r="144" spans="1:10" x14ac:dyDescent="0.35">
      <c r="A144" s="3" t="s">
        <v>59</v>
      </c>
      <c r="B144" s="3" t="s">
        <v>85</v>
      </c>
      <c r="C144" s="3">
        <v>77053</v>
      </c>
      <c r="D144" s="3">
        <v>0</v>
      </c>
      <c r="E144" s="3" t="s">
        <v>89</v>
      </c>
      <c r="F144" s="3" t="s">
        <v>86</v>
      </c>
      <c r="G144" s="3">
        <f>Table2[[#This Row],[Income]]-Table2[[#This Row],[Expense]]</f>
        <v>77053</v>
      </c>
      <c r="H144" s="3" t="str">
        <f>TEXT(Table2[[#This Row],[Date]],"MMM")</f>
        <v>Jun</v>
      </c>
      <c r="I144" s="3">
        <f>YEAR(Table2[[#This Row],[Date]])</f>
        <v>2025</v>
      </c>
      <c r="J144" s="3">
        <f t="shared" si="2"/>
        <v>100000</v>
      </c>
    </row>
    <row r="145" spans="1:10" x14ac:dyDescent="0.35">
      <c r="A145" s="3" t="s">
        <v>206</v>
      </c>
      <c r="B145" s="3" t="s">
        <v>22</v>
      </c>
      <c r="C145" s="3">
        <v>0</v>
      </c>
      <c r="D145" s="3">
        <v>1284</v>
      </c>
      <c r="E145" s="3" t="s">
        <v>81</v>
      </c>
      <c r="F145" s="3" t="s">
        <v>98</v>
      </c>
      <c r="G145" s="3">
        <f>Table2[[#This Row],[Income]]-Table2[[#This Row],[Expense]]</f>
        <v>-1284</v>
      </c>
      <c r="H145" s="3" t="str">
        <f>TEXT(Table2[[#This Row],[Date]],"MMM")</f>
        <v>Aug</v>
      </c>
      <c r="I145" s="3">
        <f>YEAR(Table2[[#This Row],[Date]])</f>
        <v>2024</v>
      </c>
      <c r="J145" s="3">
        <f t="shared" si="2"/>
        <v>300000</v>
      </c>
    </row>
    <row r="146" spans="1:10" x14ac:dyDescent="0.35">
      <c r="A146" s="3" t="s">
        <v>24</v>
      </c>
      <c r="B146" s="3" t="s">
        <v>83</v>
      </c>
      <c r="C146" s="3">
        <v>0</v>
      </c>
      <c r="D146" s="3">
        <v>856</v>
      </c>
      <c r="E146" s="3" t="s">
        <v>12</v>
      </c>
      <c r="F146" s="3" t="s">
        <v>84</v>
      </c>
      <c r="G146" s="3">
        <f>Table2[[#This Row],[Income]]-Table2[[#This Row],[Expense]]</f>
        <v>-856</v>
      </c>
      <c r="H146" s="3" t="str">
        <f>TEXT(Table2[[#This Row],[Date]],"MMM")</f>
        <v>Jan</v>
      </c>
      <c r="I146" s="3">
        <f>YEAR(Table2[[#This Row],[Date]])</f>
        <v>2025</v>
      </c>
      <c r="J146" s="3">
        <f t="shared" si="2"/>
        <v>300000</v>
      </c>
    </row>
    <row r="147" spans="1:10" x14ac:dyDescent="0.35">
      <c r="A147" s="3" t="s">
        <v>207</v>
      </c>
      <c r="B147" s="3" t="s">
        <v>10</v>
      </c>
      <c r="C147" s="3">
        <v>0</v>
      </c>
      <c r="D147" s="3">
        <v>8977</v>
      </c>
      <c r="E147" s="3" t="s">
        <v>95</v>
      </c>
      <c r="F147" s="3" t="s">
        <v>94</v>
      </c>
      <c r="G147" s="3">
        <f>Table2[[#This Row],[Income]]-Table2[[#This Row],[Expense]]</f>
        <v>-8977</v>
      </c>
      <c r="H147" s="3" t="str">
        <f>TEXT(Table2[[#This Row],[Date]],"MMM")</f>
        <v>Oct</v>
      </c>
      <c r="I147" s="3">
        <f>YEAR(Table2[[#This Row],[Date]])</f>
        <v>2024</v>
      </c>
      <c r="J147" s="3">
        <f t="shared" si="2"/>
        <v>450000</v>
      </c>
    </row>
    <row r="148" spans="1:10" x14ac:dyDescent="0.35">
      <c r="A148" s="3" t="s">
        <v>208</v>
      </c>
      <c r="B148" s="3" t="s">
        <v>13</v>
      </c>
      <c r="C148" s="3">
        <v>21552</v>
      </c>
      <c r="D148" s="3">
        <v>0</v>
      </c>
      <c r="E148" s="3" t="s">
        <v>89</v>
      </c>
      <c r="F148" s="3" t="s">
        <v>88</v>
      </c>
      <c r="G148" s="3">
        <f>Table2[[#This Row],[Income]]-Table2[[#This Row],[Expense]]</f>
        <v>21552</v>
      </c>
      <c r="H148" s="3" t="str">
        <f>TEXT(Table2[[#This Row],[Date]],"MMM")</f>
        <v>Apr</v>
      </c>
      <c r="I148" s="3">
        <f>YEAR(Table2[[#This Row],[Date]])</f>
        <v>2024</v>
      </c>
      <c r="J148" s="3">
        <f t="shared" si="2"/>
        <v>0</v>
      </c>
    </row>
    <row r="149" spans="1:10" x14ac:dyDescent="0.35">
      <c r="A149" s="3" t="s">
        <v>209</v>
      </c>
      <c r="B149" s="3" t="s">
        <v>80</v>
      </c>
      <c r="C149" s="3">
        <v>0</v>
      </c>
      <c r="D149" s="3">
        <v>13335</v>
      </c>
      <c r="E149" s="3" t="s">
        <v>81</v>
      </c>
      <c r="F149" s="3" t="s">
        <v>82</v>
      </c>
      <c r="G149" s="3">
        <f>Table2[[#This Row],[Income]]-Table2[[#This Row],[Expense]]</f>
        <v>-13335</v>
      </c>
      <c r="H149" s="3" t="str">
        <f>TEXT(Table2[[#This Row],[Date]],"MMM")</f>
        <v>Jun</v>
      </c>
      <c r="I149" s="3">
        <f>YEAR(Table2[[#This Row],[Date]])</f>
        <v>2023</v>
      </c>
      <c r="J149" s="3">
        <f t="shared" si="2"/>
        <v>270000</v>
      </c>
    </row>
    <row r="150" spans="1:10" x14ac:dyDescent="0.35">
      <c r="A150" s="3" t="s">
        <v>210</v>
      </c>
      <c r="B150" s="3" t="s">
        <v>14</v>
      </c>
      <c r="C150" s="3">
        <v>0</v>
      </c>
      <c r="D150" s="3">
        <v>5273</v>
      </c>
      <c r="E150" s="3" t="s">
        <v>95</v>
      </c>
      <c r="F150" s="3" t="s">
        <v>90</v>
      </c>
      <c r="G150" s="3">
        <f>Table2[[#This Row],[Income]]-Table2[[#This Row],[Expense]]</f>
        <v>-5273</v>
      </c>
      <c r="H150" s="3" t="str">
        <f>TEXT(Table2[[#This Row],[Date]],"MMM")</f>
        <v>Jun</v>
      </c>
      <c r="I150" s="3">
        <f>YEAR(Table2[[#This Row],[Date]])</f>
        <v>2026</v>
      </c>
      <c r="J150" s="3">
        <f t="shared" si="2"/>
        <v>250000</v>
      </c>
    </row>
    <row r="151" spans="1:10" x14ac:dyDescent="0.35">
      <c r="A151" s="3" t="s">
        <v>67</v>
      </c>
      <c r="B151" s="3" t="s">
        <v>85</v>
      </c>
      <c r="C151" s="3">
        <v>32031</v>
      </c>
      <c r="D151" s="3">
        <v>0</v>
      </c>
      <c r="E151" s="3" t="s">
        <v>89</v>
      </c>
      <c r="F151" s="3" t="s">
        <v>86</v>
      </c>
      <c r="G151" s="3">
        <f>Table2[[#This Row],[Income]]-Table2[[#This Row],[Expense]]</f>
        <v>32031</v>
      </c>
      <c r="H151" s="3" t="str">
        <f>TEXT(Table2[[#This Row],[Date]],"MMM")</f>
        <v>Jul</v>
      </c>
      <c r="I151" s="3">
        <f>YEAR(Table2[[#This Row],[Date]])</f>
        <v>2025</v>
      </c>
      <c r="J151" s="3">
        <f t="shared" si="2"/>
        <v>100000</v>
      </c>
    </row>
    <row r="152" spans="1:10" x14ac:dyDescent="0.35">
      <c r="A152" s="3" t="s">
        <v>211</v>
      </c>
      <c r="B152" s="3" t="s">
        <v>7</v>
      </c>
      <c r="C152" s="3">
        <v>60620</v>
      </c>
      <c r="D152" s="3">
        <v>0</v>
      </c>
      <c r="E152" s="3" t="s">
        <v>89</v>
      </c>
      <c r="F152" s="3" t="s">
        <v>97</v>
      </c>
      <c r="G152" s="3">
        <f>Table2[[#This Row],[Income]]-Table2[[#This Row],[Expense]]</f>
        <v>60620</v>
      </c>
      <c r="H152" s="3" t="str">
        <f>TEXT(Table2[[#This Row],[Date]],"MMM")</f>
        <v>May</v>
      </c>
      <c r="I152" s="3">
        <f>YEAR(Table2[[#This Row],[Date]])</f>
        <v>2023</v>
      </c>
      <c r="J152" s="3">
        <f t="shared" si="2"/>
        <v>0</v>
      </c>
    </row>
    <row r="153" spans="1:10" x14ac:dyDescent="0.35">
      <c r="A153" s="3" t="s">
        <v>212</v>
      </c>
      <c r="B153" s="3" t="s">
        <v>80</v>
      </c>
      <c r="C153" s="3">
        <v>0</v>
      </c>
      <c r="D153" s="3">
        <v>14653</v>
      </c>
      <c r="E153" s="3" t="s">
        <v>95</v>
      </c>
      <c r="F153" s="3" t="s">
        <v>82</v>
      </c>
      <c r="G153" s="3">
        <f>Table2[[#This Row],[Income]]-Table2[[#This Row],[Expense]]</f>
        <v>-14653</v>
      </c>
      <c r="H153" s="3" t="str">
        <f>TEXT(Table2[[#This Row],[Date]],"MMM")</f>
        <v>Feb</v>
      </c>
      <c r="I153" s="3">
        <f>YEAR(Table2[[#This Row],[Date]])</f>
        <v>2026</v>
      </c>
      <c r="J153" s="3">
        <f t="shared" si="2"/>
        <v>270000</v>
      </c>
    </row>
    <row r="154" spans="1:10" x14ac:dyDescent="0.35">
      <c r="A154" s="3" t="s">
        <v>213</v>
      </c>
      <c r="B154" s="3" t="s">
        <v>80</v>
      </c>
      <c r="C154" s="3">
        <v>0</v>
      </c>
      <c r="D154" s="3">
        <v>14246</v>
      </c>
      <c r="E154" s="3" t="s">
        <v>12</v>
      </c>
      <c r="F154" s="3" t="s">
        <v>82</v>
      </c>
      <c r="G154" s="3">
        <f>Table2[[#This Row],[Income]]-Table2[[#This Row],[Expense]]</f>
        <v>-14246</v>
      </c>
      <c r="H154" s="3" t="str">
        <f>TEXT(Table2[[#This Row],[Date]],"MMM")</f>
        <v>Sep</v>
      </c>
      <c r="I154" s="3">
        <f>YEAR(Table2[[#This Row],[Date]])</f>
        <v>2024</v>
      </c>
      <c r="J154" s="3">
        <f t="shared" si="2"/>
        <v>270000</v>
      </c>
    </row>
    <row r="155" spans="1:10" x14ac:dyDescent="0.35">
      <c r="A155" s="3" t="s">
        <v>214</v>
      </c>
      <c r="B155" s="3" t="s">
        <v>11</v>
      </c>
      <c r="C155" s="3">
        <v>0</v>
      </c>
      <c r="D155" s="3">
        <v>18145</v>
      </c>
      <c r="E155" s="3" t="s">
        <v>12</v>
      </c>
      <c r="F155" s="3" t="s">
        <v>93</v>
      </c>
      <c r="G155" s="3">
        <f>Table2[[#This Row],[Income]]-Table2[[#This Row],[Expense]]</f>
        <v>-18145</v>
      </c>
      <c r="H155" s="3" t="str">
        <f>TEXT(Table2[[#This Row],[Date]],"MMM")</f>
        <v>Dec</v>
      </c>
      <c r="I155" s="3">
        <f>YEAR(Table2[[#This Row],[Date]])</f>
        <v>2025</v>
      </c>
      <c r="J155" s="3">
        <f t="shared" si="2"/>
        <v>240000</v>
      </c>
    </row>
    <row r="156" spans="1:10" x14ac:dyDescent="0.35">
      <c r="A156" s="3" t="s">
        <v>215</v>
      </c>
      <c r="B156" s="3" t="s">
        <v>20</v>
      </c>
      <c r="C156" s="3">
        <v>0</v>
      </c>
      <c r="D156" s="3">
        <v>19781</v>
      </c>
      <c r="E156" s="3" t="s">
        <v>95</v>
      </c>
      <c r="F156" s="3" t="s">
        <v>96</v>
      </c>
      <c r="G156" s="3">
        <f>Table2[[#This Row],[Income]]-Table2[[#This Row],[Expense]]</f>
        <v>-19781</v>
      </c>
      <c r="H156" s="3" t="str">
        <f>TEXT(Table2[[#This Row],[Date]],"MMM")</f>
        <v>Nov</v>
      </c>
      <c r="I156" s="3">
        <f>YEAR(Table2[[#This Row],[Date]])</f>
        <v>2026</v>
      </c>
      <c r="J156" s="3">
        <f t="shared" si="2"/>
        <v>400000</v>
      </c>
    </row>
    <row r="157" spans="1:10" x14ac:dyDescent="0.35">
      <c r="A157" s="3" t="s">
        <v>112</v>
      </c>
      <c r="B157" s="3" t="s">
        <v>11</v>
      </c>
      <c r="C157" s="3">
        <v>0</v>
      </c>
      <c r="D157" s="3">
        <v>15335</v>
      </c>
      <c r="E157" s="3" t="s">
        <v>9</v>
      </c>
      <c r="F157" s="3" t="s">
        <v>93</v>
      </c>
      <c r="G157" s="3">
        <f>Table2[[#This Row],[Income]]-Table2[[#This Row],[Expense]]</f>
        <v>-15335</v>
      </c>
      <c r="H157" s="3" t="str">
        <f>TEXT(Table2[[#This Row],[Date]],"MMM")</f>
        <v>Apr</v>
      </c>
      <c r="I157" s="3">
        <f>YEAR(Table2[[#This Row],[Date]])</f>
        <v>2024</v>
      </c>
      <c r="J157" s="3">
        <f t="shared" si="2"/>
        <v>240000</v>
      </c>
    </row>
    <row r="158" spans="1:10" x14ac:dyDescent="0.35">
      <c r="A158" s="3" t="s">
        <v>216</v>
      </c>
      <c r="B158" s="3" t="s">
        <v>20</v>
      </c>
      <c r="C158" s="3">
        <v>0</v>
      </c>
      <c r="D158" s="3">
        <v>21089</v>
      </c>
      <c r="E158" s="3" t="s">
        <v>9</v>
      </c>
      <c r="F158" s="3" t="s">
        <v>96</v>
      </c>
      <c r="G158" s="3">
        <f>Table2[[#This Row],[Income]]-Table2[[#This Row],[Expense]]</f>
        <v>-21089</v>
      </c>
      <c r="H158" s="3" t="str">
        <f>TEXT(Table2[[#This Row],[Date]],"MMM")</f>
        <v>Oct</v>
      </c>
      <c r="I158" s="3">
        <f>YEAR(Table2[[#This Row],[Date]])</f>
        <v>2025</v>
      </c>
      <c r="J158" s="3">
        <f t="shared" si="2"/>
        <v>400000</v>
      </c>
    </row>
    <row r="159" spans="1:10" x14ac:dyDescent="0.35">
      <c r="A159" s="3" t="s">
        <v>217</v>
      </c>
      <c r="B159" s="3" t="s">
        <v>11</v>
      </c>
      <c r="C159" s="3">
        <v>0</v>
      </c>
      <c r="D159" s="3">
        <v>2523</v>
      </c>
      <c r="E159" s="3" t="s">
        <v>95</v>
      </c>
      <c r="F159" s="3" t="s">
        <v>93</v>
      </c>
      <c r="G159" s="3">
        <f>Table2[[#This Row],[Income]]-Table2[[#This Row],[Expense]]</f>
        <v>-2523</v>
      </c>
      <c r="H159" s="3" t="str">
        <f>TEXT(Table2[[#This Row],[Date]],"MMM")</f>
        <v>Jun</v>
      </c>
      <c r="I159" s="3">
        <f>YEAR(Table2[[#This Row],[Date]])</f>
        <v>2024</v>
      </c>
      <c r="J159" s="3">
        <f t="shared" si="2"/>
        <v>240000</v>
      </c>
    </row>
    <row r="160" spans="1:10" x14ac:dyDescent="0.35">
      <c r="A160" s="3" t="s">
        <v>71</v>
      </c>
      <c r="B160" s="3" t="s">
        <v>14</v>
      </c>
      <c r="C160" s="3">
        <v>0</v>
      </c>
      <c r="D160" s="3">
        <v>12347</v>
      </c>
      <c r="E160" s="3" t="s">
        <v>9</v>
      </c>
      <c r="F160" s="3" t="s">
        <v>90</v>
      </c>
      <c r="G160" s="3">
        <f>Table2[[#This Row],[Income]]-Table2[[#This Row],[Expense]]</f>
        <v>-12347</v>
      </c>
      <c r="H160" s="3" t="str">
        <f>TEXT(Table2[[#This Row],[Date]],"MMM")</f>
        <v>Aug</v>
      </c>
      <c r="I160" s="3">
        <f>YEAR(Table2[[#This Row],[Date]])</f>
        <v>2025</v>
      </c>
      <c r="J160" s="3">
        <f t="shared" si="2"/>
        <v>250000</v>
      </c>
    </row>
    <row r="161" spans="1:10" x14ac:dyDescent="0.35">
      <c r="A161" s="3" t="s">
        <v>218</v>
      </c>
      <c r="B161" s="3" t="s">
        <v>20</v>
      </c>
      <c r="C161" s="3">
        <v>0</v>
      </c>
      <c r="D161" s="3">
        <v>8753</v>
      </c>
      <c r="E161" s="3" t="s">
        <v>81</v>
      </c>
      <c r="F161" s="3" t="s">
        <v>96</v>
      </c>
      <c r="G161" s="3">
        <f>Table2[[#This Row],[Income]]-Table2[[#This Row],[Expense]]</f>
        <v>-8753</v>
      </c>
      <c r="H161" s="3" t="str">
        <f>TEXT(Table2[[#This Row],[Date]],"MMM")</f>
        <v>Aug</v>
      </c>
      <c r="I161" s="3">
        <f>YEAR(Table2[[#This Row],[Date]])</f>
        <v>2023</v>
      </c>
      <c r="J161" s="3">
        <f t="shared" si="2"/>
        <v>400000</v>
      </c>
    </row>
    <row r="162" spans="1:10" x14ac:dyDescent="0.35">
      <c r="A162" s="3" t="s">
        <v>219</v>
      </c>
      <c r="B162" s="3" t="s">
        <v>20</v>
      </c>
      <c r="C162" s="3">
        <v>0</v>
      </c>
      <c r="D162" s="3">
        <v>21539</v>
      </c>
      <c r="E162" s="3" t="s">
        <v>12</v>
      </c>
      <c r="F162" s="3" t="s">
        <v>96</v>
      </c>
      <c r="G162" s="3">
        <f>Table2[[#This Row],[Income]]-Table2[[#This Row],[Expense]]</f>
        <v>-21539</v>
      </c>
      <c r="H162" s="3" t="str">
        <f>TEXT(Table2[[#This Row],[Date]],"MMM")</f>
        <v>Oct</v>
      </c>
      <c r="I162" s="3">
        <f>YEAR(Table2[[#This Row],[Date]])</f>
        <v>2024</v>
      </c>
      <c r="J162" s="3">
        <f t="shared" si="2"/>
        <v>400000</v>
      </c>
    </row>
    <row r="163" spans="1:10" x14ac:dyDescent="0.35">
      <c r="A163" s="3" t="s">
        <v>220</v>
      </c>
      <c r="B163" s="3" t="s">
        <v>13</v>
      </c>
      <c r="C163" s="3">
        <v>21594</v>
      </c>
      <c r="D163" s="3">
        <v>0</v>
      </c>
      <c r="E163" s="3" t="s">
        <v>89</v>
      </c>
      <c r="F163" s="3" t="s">
        <v>88</v>
      </c>
      <c r="G163" s="3">
        <f>Table2[[#This Row],[Income]]-Table2[[#This Row],[Expense]]</f>
        <v>21594</v>
      </c>
      <c r="H163" s="3" t="str">
        <f>TEXT(Table2[[#This Row],[Date]],"MMM")</f>
        <v>Oct</v>
      </c>
      <c r="I163" s="3">
        <f>YEAR(Table2[[#This Row],[Date]])</f>
        <v>2023</v>
      </c>
      <c r="J163" s="3">
        <f t="shared" si="2"/>
        <v>0</v>
      </c>
    </row>
    <row r="164" spans="1:10" x14ac:dyDescent="0.35">
      <c r="A164" s="3" t="s">
        <v>221</v>
      </c>
      <c r="B164" s="3" t="s">
        <v>7</v>
      </c>
      <c r="C164" s="3">
        <v>55295</v>
      </c>
      <c r="D164" s="3">
        <v>0</v>
      </c>
      <c r="E164" s="3" t="s">
        <v>95</v>
      </c>
      <c r="F164" s="3" t="s">
        <v>97</v>
      </c>
      <c r="G164" s="3">
        <f>Table2[[#This Row],[Income]]-Table2[[#This Row],[Expense]]</f>
        <v>55295</v>
      </c>
      <c r="H164" s="3" t="str">
        <f>TEXT(Table2[[#This Row],[Date]],"MMM")</f>
        <v>Jul</v>
      </c>
      <c r="I164" s="3">
        <f>YEAR(Table2[[#This Row],[Date]])</f>
        <v>2023</v>
      </c>
      <c r="J164" s="3">
        <f t="shared" si="2"/>
        <v>0</v>
      </c>
    </row>
    <row r="165" spans="1:10" x14ac:dyDescent="0.35">
      <c r="A165" s="3" t="s">
        <v>49</v>
      </c>
      <c r="B165" s="3" t="s">
        <v>10</v>
      </c>
      <c r="C165" s="3">
        <v>0</v>
      </c>
      <c r="D165" s="3">
        <v>20258</v>
      </c>
      <c r="E165" s="3" t="s">
        <v>12</v>
      </c>
      <c r="F165" s="3" t="s">
        <v>94</v>
      </c>
      <c r="G165" s="3">
        <f>Table2[[#This Row],[Income]]-Table2[[#This Row],[Expense]]</f>
        <v>-20258</v>
      </c>
      <c r="H165" s="3" t="str">
        <f>TEXT(Table2[[#This Row],[Date]],"MMM")</f>
        <v>Apr</v>
      </c>
      <c r="I165" s="3">
        <f>YEAR(Table2[[#This Row],[Date]])</f>
        <v>2025</v>
      </c>
      <c r="J165" s="3">
        <f t="shared" si="2"/>
        <v>450000</v>
      </c>
    </row>
    <row r="166" spans="1:10" x14ac:dyDescent="0.35">
      <c r="A166" s="3" t="s">
        <v>222</v>
      </c>
      <c r="B166" s="3" t="s">
        <v>22</v>
      </c>
      <c r="C166" s="3">
        <v>0</v>
      </c>
      <c r="D166" s="3">
        <v>15662</v>
      </c>
      <c r="E166" s="3" t="s">
        <v>81</v>
      </c>
      <c r="F166" s="3" t="s">
        <v>98</v>
      </c>
      <c r="G166" s="3">
        <f>Table2[[#This Row],[Income]]-Table2[[#This Row],[Expense]]</f>
        <v>-15662</v>
      </c>
      <c r="H166" s="3" t="str">
        <f>TEXT(Table2[[#This Row],[Date]],"MMM")</f>
        <v>Mar</v>
      </c>
      <c r="I166" s="3">
        <f>YEAR(Table2[[#This Row],[Date]])</f>
        <v>2024</v>
      </c>
      <c r="J166" s="3">
        <f t="shared" si="2"/>
        <v>300000</v>
      </c>
    </row>
    <row r="167" spans="1:10" x14ac:dyDescent="0.35">
      <c r="A167" s="3" t="s">
        <v>223</v>
      </c>
      <c r="B167" s="3" t="s">
        <v>20</v>
      </c>
      <c r="C167" s="3">
        <v>0</v>
      </c>
      <c r="D167" s="3">
        <v>2870</v>
      </c>
      <c r="E167" s="3" t="s">
        <v>81</v>
      </c>
      <c r="F167" s="3" t="s">
        <v>96</v>
      </c>
      <c r="G167" s="3">
        <f>Table2[[#This Row],[Income]]-Table2[[#This Row],[Expense]]</f>
        <v>-2870</v>
      </c>
      <c r="H167" s="3" t="str">
        <f>TEXT(Table2[[#This Row],[Date]],"MMM")</f>
        <v>May</v>
      </c>
      <c r="I167" s="3">
        <f>YEAR(Table2[[#This Row],[Date]])</f>
        <v>2024</v>
      </c>
      <c r="J167" s="3">
        <f t="shared" si="2"/>
        <v>400000</v>
      </c>
    </row>
    <row r="168" spans="1:10" x14ac:dyDescent="0.35">
      <c r="A168" s="3" t="s">
        <v>134</v>
      </c>
      <c r="B168" s="3" t="s">
        <v>83</v>
      </c>
      <c r="C168" s="3">
        <v>0</v>
      </c>
      <c r="D168" s="3">
        <v>13664</v>
      </c>
      <c r="E168" s="3" t="s">
        <v>12</v>
      </c>
      <c r="F168" s="3" t="s">
        <v>84</v>
      </c>
      <c r="G168" s="3">
        <f>Table2[[#This Row],[Income]]-Table2[[#This Row],[Expense]]</f>
        <v>-13664</v>
      </c>
      <c r="H168" s="3" t="str">
        <f>TEXT(Table2[[#This Row],[Date]],"MMM")</f>
        <v>Aug</v>
      </c>
      <c r="I168" s="3">
        <f>YEAR(Table2[[#This Row],[Date]])</f>
        <v>2024</v>
      </c>
      <c r="J168" s="3">
        <f t="shared" si="2"/>
        <v>300000</v>
      </c>
    </row>
    <row r="169" spans="1:10" x14ac:dyDescent="0.35">
      <c r="A169" s="3" t="s">
        <v>224</v>
      </c>
      <c r="B169" s="3" t="s">
        <v>20</v>
      </c>
      <c r="C169" s="3">
        <v>0</v>
      </c>
      <c r="D169" s="3">
        <v>1564</v>
      </c>
      <c r="E169" s="3" t="s">
        <v>95</v>
      </c>
      <c r="F169" s="3" t="s">
        <v>96</v>
      </c>
      <c r="G169" s="3">
        <f>Table2[[#This Row],[Income]]-Table2[[#This Row],[Expense]]</f>
        <v>-1564</v>
      </c>
      <c r="H169" s="3" t="str">
        <f>TEXT(Table2[[#This Row],[Date]],"MMM")</f>
        <v>Dec</v>
      </c>
      <c r="I169" s="3">
        <f>YEAR(Table2[[#This Row],[Date]])</f>
        <v>2025</v>
      </c>
      <c r="J169" s="3">
        <f t="shared" si="2"/>
        <v>400000</v>
      </c>
    </row>
    <row r="170" spans="1:10" x14ac:dyDescent="0.35">
      <c r="A170" s="3" t="s">
        <v>225</v>
      </c>
      <c r="B170" s="3" t="s">
        <v>91</v>
      </c>
      <c r="C170" s="3">
        <v>0</v>
      </c>
      <c r="D170" s="3">
        <v>8915</v>
      </c>
      <c r="E170" s="3" t="s">
        <v>12</v>
      </c>
      <c r="F170" s="3" t="s">
        <v>92</v>
      </c>
      <c r="G170" s="3">
        <f>Table2[[#This Row],[Income]]-Table2[[#This Row],[Expense]]</f>
        <v>-8915</v>
      </c>
      <c r="H170" s="3" t="str">
        <f>TEXT(Table2[[#This Row],[Date]],"MMM")</f>
        <v>Aug</v>
      </c>
      <c r="I170" s="3">
        <f>YEAR(Table2[[#This Row],[Date]])</f>
        <v>2024</v>
      </c>
      <c r="J170" s="3">
        <f t="shared" si="2"/>
        <v>460000</v>
      </c>
    </row>
    <row r="171" spans="1:10" x14ac:dyDescent="0.35">
      <c r="A171" s="3" t="s">
        <v>226</v>
      </c>
      <c r="B171" s="3" t="s">
        <v>20</v>
      </c>
      <c r="C171" s="3">
        <v>0</v>
      </c>
      <c r="D171" s="3">
        <v>4178</v>
      </c>
      <c r="E171" s="3" t="s">
        <v>89</v>
      </c>
      <c r="F171" s="3" t="s">
        <v>96</v>
      </c>
      <c r="G171" s="3">
        <f>Table2[[#This Row],[Income]]-Table2[[#This Row],[Expense]]</f>
        <v>-4178</v>
      </c>
      <c r="H171" s="3" t="str">
        <f>TEXT(Table2[[#This Row],[Date]],"MMM")</f>
        <v>Sep</v>
      </c>
      <c r="I171" s="3">
        <f>YEAR(Table2[[#This Row],[Date]])</f>
        <v>2024</v>
      </c>
      <c r="J171" s="3">
        <f t="shared" si="2"/>
        <v>400000</v>
      </c>
    </row>
    <row r="172" spans="1:10" x14ac:dyDescent="0.35">
      <c r="A172" s="3" t="s">
        <v>227</v>
      </c>
      <c r="B172" s="3" t="s">
        <v>83</v>
      </c>
      <c r="C172" s="3">
        <v>0</v>
      </c>
      <c r="D172" s="3">
        <v>929</v>
      </c>
      <c r="E172" s="3" t="s">
        <v>81</v>
      </c>
      <c r="F172" s="3" t="s">
        <v>84</v>
      </c>
      <c r="G172" s="3">
        <f>Table2[[#This Row],[Income]]-Table2[[#This Row],[Expense]]</f>
        <v>-929</v>
      </c>
      <c r="H172" s="3" t="str">
        <f>TEXT(Table2[[#This Row],[Date]],"MMM")</f>
        <v>Jun</v>
      </c>
      <c r="I172" s="3">
        <f>YEAR(Table2[[#This Row],[Date]])</f>
        <v>2023</v>
      </c>
      <c r="J172" s="3">
        <f t="shared" si="2"/>
        <v>300000</v>
      </c>
    </row>
    <row r="173" spans="1:10" x14ac:dyDescent="0.35">
      <c r="A173" s="3" t="s">
        <v>228</v>
      </c>
      <c r="B173" s="3" t="s">
        <v>7</v>
      </c>
      <c r="C173" s="3">
        <v>32731</v>
      </c>
      <c r="D173" s="3">
        <v>0</v>
      </c>
      <c r="E173" s="3" t="s">
        <v>9</v>
      </c>
      <c r="F173" s="3" t="s">
        <v>97</v>
      </c>
      <c r="G173" s="3">
        <f>Table2[[#This Row],[Income]]-Table2[[#This Row],[Expense]]</f>
        <v>32731</v>
      </c>
      <c r="H173" s="3" t="str">
        <f>TEXT(Table2[[#This Row],[Date]],"MMM")</f>
        <v>Oct</v>
      </c>
      <c r="I173" s="3">
        <f>YEAR(Table2[[#This Row],[Date]])</f>
        <v>2023</v>
      </c>
      <c r="J173" s="3">
        <f t="shared" si="2"/>
        <v>0</v>
      </c>
    </row>
    <row r="174" spans="1:10" x14ac:dyDescent="0.35">
      <c r="A174" s="3" t="s">
        <v>229</v>
      </c>
      <c r="B174" s="3" t="s">
        <v>10</v>
      </c>
      <c r="C174" s="3">
        <v>0</v>
      </c>
      <c r="D174" s="3">
        <v>9928</v>
      </c>
      <c r="E174" s="3" t="s">
        <v>9</v>
      </c>
      <c r="F174" s="3" t="s">
        <v>94</v>
      </c>
      <c r="G174" s="3">
        <f>Table2[[#This Row],[Income]]-Table2[[#This Row],[Expense]]</f>
        <v>-9928</v>
      </c>
      <c r="H174" s="3" t="str">
        <f>TEXT(Table2[[#This Row],[Date]],"MMM")</f>
        <v>Sep</v>
      </c>
      <c r="I174" s="3">
        <f>YEAR(Table2[[#This Row],[Date]])</f>
        <v>2025</v>
      </c>
      <c r="J174" s="3">
        <f t="shared" si="2"/>
        <v>450000</v>
      </c>
    </row>
    <row r="175" spans="1:10" x14ac:dyDescent="0.35">
      <c r="A175" s="3" t="s">
        <v>58</v>
      </c>
      <c r="B175" s="3" t="s">
        <v>7</v>
      </c>
      <c r="C175" s="3">
        <v>37755</v>
      </c>
      <c r="D175" s="3">
        <v>0</v>
      </c>
      <c r="E175" s="3" t="s">
        <v>9</v>
      </c>
      <c r="F175" s="3" t="s">
        <v>97</v>
      </c>
      <c r="G175" s="3">
        <f>Table2[[#This Row],[Income]]-Table2[[#This Row],[Expense]]</f>
        <v>37755</v>
      </c>
      <c r="H175" s="3" t="str">
        <f>TEXT(Table2[[#This Row],[Date]],"MMM")</f>
        <v>May</v>
      </c>
      <c r="I175" s="3">
        <f>YEAR(Table2[[#This Row],[Date]])</f>
        <v>2025</v>
      </c>
      <c r="J175" s="3">
        <f t="shared" si="2"/>
        <v>0</v>
      </c>
    </row>
    <row r="176" spans="1:10" x14ac:dyDescent="0.35">
      <c r="A176" s="3" t="s">
        <v>230</v>
      </c>
      <c r="B176" s="3" t="s">
        <v>85</v>
      </c>
      <c r="C176" s="3">
        <v>35454</v>
      </c>
      <c r="D176" s="3">
        <v>0</v>
      </c>
      <c r="E176" s="3" t="s">
        <v>12</v>
      </c>
      <c r="F176" s="3" t="s">
        <v>86</v>
      </c>
      <c r="G176" s="3">
        <f>Table2[[#This Row],[Income]]-Table2[[#This Row],[Expense]]</f>
        <v>35454</v>
      </c>
      <c r="H176" s="3" t="str">
        <f>TEXT(Table2[[#This Row],[Date]],"MMM")</f>
        <v>Oct</v>
      </c>
      <c r="I176" s="3">
        <f>YEAR(Table2[[#This Row],[Date]])</f>
        <v>2024</v>
      </c>
      <c r="J176" s="3">
        <f t="shared" si="2"/>
        <v>100000</v>
      </c>
    </row>
    <row r="177" spans="1:10" x14ac:dyDescent="0.35">
      <c r="A177" s="3" t="s">
        <v>231</v>
      </c>
      <c r="B177" s="3" t="s">
        <v>85</v>
      </c>
      <c r="C177" s="3">
        <v>53998</v>
      </c>
      <c r="D177" s="3">
        <v>0</v>
      </c>
      <c r="E177" s="3" t="s">
        <v>9</v>
      </c>
      <c r="F177" s="3" t="s">
        <v>86</v>
      </c>
      <c r="G177" s="3">
        <f>Table2[[#This Row],[Income]]-Table2[[#This Row],[Expense]]</f>
        <v>53998</v>
      </c>
      <c r="H177" s="3" t="str">
        <f>TEXT(Table2[[#This Row],[Date]],"MMM")</f>
        <v>Dec</v>
      </c>
      <c r="I177" s="3">
        <f>YEAR(Table2[[#This Row],[Date]])</f>
        <v>2026</v>
      </c>
      <c r="J177" s="3">
        <f t="shared" si="2"/>
        <v>100000</v>
      </c>
    </row>
    <row r="178" spans="1:10" x14ac:dyDescent="0.35">
      <c r="A178" s="3" t="s">
        <v>65</v>
      </c>
      <c r="B178" s="3" t="s">
        <v>8</v>
      </c>
      <c r="C178" s="3">
        <v>12310</v>
      </c>
      <c r="D178" s="3">
        <v>0</v>
      </c>
      <c r="E178" s="3" t="s">
        <v>12</v>
      </c>
      <c r="F178" s="3" t="s">
        <v>87</v>
      </c>
      <c r="G178" s="3">
        <f>Table2[[#This Row],[Income]]-Table2[[#This Row],[Expense]]</f>
        <v>12310</v>
      </c>
      <c r="H178" s="3" t="str">
        <f>TEXT(Table2[[#This Row],[Date]],"MMM")</f>
        <v>Jul</v>
      </c>
      <c r="I178" s="3">
        <f>YEAR(Table2[[#This Row],[Date]])</f>
        <v>2025</v>
      </c>
      <c r="J178" s="3">
        <f t="shared" si="2"/>
        <v>0</v>
      </c>
    </row>
    <row r="179" spans="1:10" x14ac:dyDescent="0.35">
      <c r="A179" s="3" t="s">
        <v>232</v>
      </c>
      <c r="B179" s="3" t="s">
        <v>20</v>
      </c>
      <c r="C179" s="3">
        <v>0</v>
      </c>
      <c r="D179" s="3">
        <v>21122</v>
      </c>
      <c r="E179" s="3" t="s">
        <v>12</v>
      </c>
      <c r="F179" s="3" t="s">
        <v>96</v>
      </c>
      <c r="G179" s="3">
        <f>Table2[[#This Row],[Income]]-Table2[[#This Row],[Expense]]</f>
        <v>-21122</v>
      </c>
      <c r="H179" s="3" t="str">
        <f>TEXT(Table2[[#This Row],[Date]],"MMM")</f>
        <v>Aug</v>
      </c>
      <c r="I179" s="3">
        <f>YEAR(Table2[[#This Row],[Date]])</f>
        <v>2024</v>
      </c>
      <c r="J179" s="3">
        <f t="shared" si="2"/>
        <v>400000</v>
      </c>
    </row>
    <row r="180" spans="1:10" x14ac:dyDescent="0.35">
      <c r="A180" s="3" t="s">
        <v>233</v>
      </c>
      <c r="B180" s="3" t="s">
        <v>80</v>
      </c>
      <c r="C180" s="3">
        <v>0</v>
      </c>
      <c r="D180" s="3">
        <v>18536</v>
      </c>
      <c r="E180" s="3" t="s">
        <v>89</v>
      </c>
      <c r="F180" s="3" t="s">
        <v>82</v>
      </c>
      <c r="G180" s="3">
        <f>Table2[[#This Row],[Income]]-Table2[[#This Row],[Expense]]</f>
        <v>-18536</v>
      </c>
      <c r="H180" s="3" t="str">
        <f>TEXT(Table2[[#This Row],[Date]],"MMM")</f>
        <v>Feb</v>
      </c>
      <c r="I180" s="3">
        <f>YEAR(Table2[[#This Row],[Date]])</f>
        <v>2024</v>
      </c>
      <c r="J180" s="3">
        <f t="shared" si="2"/>
        <v>270000</v>
      </c>
    </row>
    <row r="181" spans="1:10" x14ac:dyDescent="0.35">
      <c r="A181" s="3" t="s">
        <v>223</v>
      </c>
      <c r="B181" s="3" t="s">
        <v>10</v>
      </c>
      <c r="C181" s="3">
        <v>0</v>
      </c>
      <c r="D181" s="3">
        <v>15646</v>
      </c>
      <c r="E181" s="3" t="s">
        <v>81</v>
      </c>
      <c r="F181" s="3" t="s">
        <v>94</v>
      </c>
      <c r="G181" s="3">
        <f>Table2[[#This Row],[Income]]-Table2[[#This Row],[Expense]]</f>
        <v>-15646</v>
      </c>
      <c r="H181" s="3" t="str">
        <f>TEXT(Table2[[#This Row],[Date]],"MMM")</f>
        <v>May</v>
      </c>
      <c r="I181" s="3">
        <f>YEAR(Table2[[#This Row],[Date]])</f>
        <v>2024</v>
      </c>
      <c r="J181" s="3">
        <f t="shared" si="2"/>
        <v>450000</v>
      </c>
    </row>
    <row r="182" spans="1:10" x14ac:dyDescent="0.35">
      <c r="A182" s="3" t="s">
        <v>234</v>
      </c>
      <c r="B182" s="3" t="s">
        <v>22</v>
      </c>
      <c r="C182" s="3">
        <v>0</v>
      </c>
      <c r="D182" s="3">
        <v>965</v>
      </c>
      <c r="E182" s="3" t="s">
        <v>12</v>
      </c>
      <c r="F182" s="3" t="s">
        <v>98</v>
      </c>
      <c r="G182" s="3">
        <f>Table2[[#This Row],[Income]]-Table2[[#This Row],[Expense]]</f>
        <v>-965</v>
      </c>
      <c r="H182" s="3" t="str">
        <f>TEXT(Table2[[#This Row],[Date]],"MMM")</f>
        <v>Jan</v>
      </c>
      <c r="I182" s="3">
        <f>YEAR(Table2[[#This Row],[Date]])</f>
        <v>2026</v>
      </c>
      <c r="J182" s="3">
        <f t="shared" si="2"/>
        <v>300000</v>
      </c>
    </row>
    <row r="183" spans="1:10" x14ac:dyDescent="0.35">
      <c r="A183" s="3" t="s">
        <v>50</v>
      </c>
      <c r="B183" s="3" t="s">
        <v>7</v>
      </c>
      <c r="C183" s="3">
        <v>35338</v>
      </c>
      <c r="D183" s="3">
        <v>0</v>
      </c>
      <c r="E183" s="3" t="s">
        <v>9</v>
      </c>
      <c r="F183" s="3" t="s">
        <v>97</v>
      </c>
      <c r="G183" s="3">
        <f>Table2[[#This Row],[Income]]-Table2[[#This Row],[Expense]]</f>
        <v>35338</v>
      </c>
      <c r="H183" s="3" t="str">
        <f>TEXT(Table2[[#This Row],[Date]],"MMM")</f>
        <v>Apr</v>
      </c>
      <c r="I183" s="3">
        <f>YEAR(Table2[[#This Row],[Date]])</f>
        <v>2025</v>
      </c>
      <c r="J183" s="3">
        <f t="shared" si="2"/>
        <v>0</v>
      </c>
    </row>
    <row r="184" spans="1:10" x14ac:dyDescent="0.35">
      <c r="A184" s="3" t="s">
        <v>235</v>
      </c>
      <c r="B184" s="3" t="s">
        <v>22</v>
      </c>
      <c r="C184" s="3">
        <v>0</v>
      </c>
      <c r="D184" s="3">
        <v>18912</v>
      </c>
      <c r="E184" s="3" t="s">
        <v>89</v>
      </c>
      <c r="F184" s="3" t="s">
        <v>98</v>
      </c>
      <c r="G184" s="3">
        <f>Table2[[#This Row],[Income]]-Table2[[#This Row],[Expense]]</f>
        <v>-18912</v>
      </c>
      <c r="H184" s="3" t="str">
        <f>TEXT(Table2[[#This Row],[Date]],"MMM")</f>
        <v>Jan</v>
      </c>
      <c r="I184" s="3">
        <f>YEAR(Table2[[#This Row],[Date]])</f>
        <v>2026</v>
      </c>
      <c r="J184" s="3">
        <f t="shared" si="2"/>
        <v>300000</v>
      </c>
    </row>
    <row r="185" spans="1:10" x14ac:dyDescent="0.35">
      <c r="A185" s="3" t="s">
        <v>41</v>
      </c>
      <c r="B185" s="3" t="s">
        <v>7</v>
      </c>
      <c r="C185" s="3">
        <v>51084</v>
      </c>
      <c r="D185" s="3">
        <v>0</v>
      </c>
      <c r="E185" s="3" t="s">
        <v>12</v>
      </c>
      <c r="F185" s="3" t="s">
        <v>97</v>
      </c>
      <c r="G185" s="3">
        <f>Table2[[#This Row],[Income]]-Table2[[#This Row],[Expense]]</f>
        <v>51084</v>
      </c>
      <c r="H185" s="3" t="str">
        <f>TEXT(Table2[[#This Row],[Date]],"MMM")</f>
        <v>Mar</v>
      </c>
      <c r="I185" s="3">
        <f>YEAR(Table2[[#This Row],[Date]])</f>
        <v>2025</v>
      </c>
      <c r="J185" s="3">
        <f t="shared" si="2"/>
        <v>0</v>
      </c>
    </row>
    <row r="186" spans="1:10" x14ac:dyDescent="0.35">
      <c r="A186" s="3" t="s">
        <v>236</v>
      </c>
      <c r="B186" s="3" t="s">
        <v>7</v>
      </c>
      <c r="C186" s="3">
        <v>38925</v>
      </c>
      <c r="D186" s="3">
        <v>0</v>
      </c>
      <c r="E186" s="3" t="s">
        <v>89</v>
      </c>
      <c r="F186" s="3" t="s">
        <v>97</v>
      </c>
      <c r="G186" s="3">
        <f>Table2[[#This Row],[Income]]-Table2[[#This Row],[Expense]]</f>
        <v>38925</v>
      </c>
      <c r="H186" s="3" t="str">
        <f>TEXT(Table2[[#This Row],[Date]],"MMM")</f>
        <v>Apr</v>
      </c>
      <c r="I186" s="3">
        <f>YEAR(Table2[[#This Row],[Date]])</f>
        <v>2026</v>
      </c>
      <c r="J186" s="3">
        <f t="shared" si="2"/>
        <v>0</v>
      </c>
    </row>
    <row r="187" spans="1:10" x14ac:dyDescent="0.35">
      <c r="A187" s="3" t="s">
        <v>237</v>
      </c>
      <c r="B187" s="3" t="s">
        <v>91</v>
      </c>
      <c r="C187" s="3">
        <v>0</v>
      </c>
      <c r="D187" s="3">
        <v>18294</v>
      </c>
      <c r="E187" s="3" t="s">
        <v>95</v>
      </c>
      <c r="F187" s="3" t="s">
        <v>92</v>
      </c>
      <c r="G187" s="3">
        <f>Table2[[#This Row],[Income]]-Table2[[#This Row],[Expense]]</f>
        <v>-18294</v>
      </c>
      <c r="H187" s="3" t="str">
        <f>TEXT(Table2[[#This Row],[Date]],"MMM")</f>
        <v>May</v>
      </c>
      <c r="I187" s="3">
        <f>YEAR(Table2[[#This Row],[Date]])</f>
        <v>2023</v>
      </c>
      <c r="J187" s="3">
        <f t="shared" si="2"/>
        <v>460000</v>
      </c>
    </row>
    <row r="188" spans="1:10" x14ac:dyDescent="0.35">
      <c r="A188" s="3" t="s">
        <v>75</v>
      </c>
      <c r="B188" s="3" t="s">
        <v>20</v>
      </c>
      <c r="C188" s="3">
        <v>0</v>
      </c>
      <c r="D188" s="3">
        <v>20744</v>
      </c>
      <c r="E188" s="3" t="s">
        <v>12</v>
      </c>
      <c r="F188" s="3" t="s">
        <v>96</v>
      </c>
      <c r="G188" s="3">
        <f>Table2[[#This Row],[Income]]-Table2[[#This Row],[Expense]]</f>
        <v>-20744</v>
      </c>
      <c r="H188" s="3" t="str">
        <f>TEXT(Table2[[#This Row],[Date]],"MMM")</f>
        <v>Aug</v>
      </c>
      <c r="I188" s="3">
        <f>YEAR(Table2[[#This Row],[Date]])</f>
        <v>2025</v>
      </c>
      <c r="J188" s="3">
        <f t="shared" si="2"/>
        <v>400000</v>
      </c>
    </row>
    <row r="189" spans="1:10" x14ac:dyDescent="0.35">
      <c r="A189" s="3" t="s">
        <v>74</v>
      </c>
      <c r="B189" s="3" t="s">
        <v>85</v>
      </c>
      <c r="C189" s="3">
        <v>61512</v>
      </c>
      <c r="D189" s="3">
        <v>0</v>
      </c>
      <c r="E189" s="3" t="s">
        <v>95</v>
      </c>
      <c r="F189" s="3" t="s">
        <v>86</v>
      </c>
      <c r="G189" s="3">
        <f>Table2[[#This Row],[Income]]-Table2[[#This Row],[Expense]]</f>
        <v>61512</v>
      </c>
      <c r="H189" s="3" t="str">
        <f>TEXT(Table2[[#This Row],[Date]],"MMM")</f>
        <v>Aug</v>
      </c>
      <c r="I189" s="3">
        <f>YEAR(Table2[[#This Row],[Date]])</f>
        <v>2025</v>
      </c>
      <c r="J189" s="3">
        <f t="shared" si="2"/>
        <v>100000</v>
      </c>
    </row>
    <row r="190" spans="1:10" x14ac:dyDescent="0.35">
      <c r="A190" s="3" t="s">
        <v>238</v>
      </c>
      <c r="B190" s="3" t="s">
        <v>8</v>
      </c>
      <c r="C190" s="3">
        <v>66022</v>
      </c>
      <c r="D190" s="3">
        <v>0</v>
      </c>
      <c r="E190" s="3" t="s">
        <v>95</v>
      </c>
      <c r="F190" s="3" t="s">
        <v>87</v>
      </c>
      <c r="G190" s="3">
        <f>Table2[[#This Row],[Income]]-Table2[[#This Row],[Expense]]</f>
        <v>66022</v>
      </c>
      <c r="H190" s="3" t="str">
        <f>TEXT(Table2[[#This Row],[Date]],"MMM")</f>
        <v>Oct</v>
      </c>
      <c r="I190" s="3">
        <f>YEAR(Table2[[#This Row],[Date]])</f>
        <v>2023</v>
      </c>
      <c r="J190" s="3">
        <f t="shared" si="2"/>
        <v>0</v>
      </c>
    </row>
    <row r="191" spans="1:10" x14ac:dyDescent="0.35">
      <c r="A191" s="3" t="s">
        <v>239</v>
      </c>
      <c r="B191" s="3" t="s">
        <v>13</v>
      </c>
      <c r="C191" s="3">
        <v>70616</v>
      </c>
      <c r="D191" s="3">
        <v>0</v>
      </c>
      <c r="E191" s="3" t="s">
        <v>9</v>
      </c>
      <c r="F191" s="3" t="s">
        <v>88</v>
      </c>
      <c r="G191" s="3">
        <f>Table2[[#This Row],[Income]]-Table2[[#This Row],[Expense]]</f>
        <v>70616</v>
      </c>
      <c r="H191" s="3" t="str">
        <f>TEXT(Table2[[#This Row],[Date]],"MMM")</f>
        <v>Mar</v>
      </c>
      <c r="I191" s="3">
        <f>YEAR(Table2[[#This Row],[Date]])</f>
        <v>2024</v>
      </c>
      <c r="J191" s="3">
        <f t="shared" si="2"/>
        <v>0</v>
      </c>
    </row>
    <row r="192" spans="1:10" x14ac:dyDescent="0.35">
      <c r="A192" s="3" t="s">
        <v>240</v>
      </c>
      <c r="B192" s="3" t="s">
        <v>10</v>
      </c>
      <c r="C192" s="3">
        <v>0</v>
      </c>
      <c r="D192" s="3">
        <v>14653</v>
      </c>
      <c r="E192" s="3" t="s">
        <v>12</v>
      </c>
      <c r="F192" s="3" t="s">
        <v>94</v>
      </c>
      <c r="G192" s="3">
        <f>Table2[[#This Row],[Income]]-Table2[[#This Row],[Expense]]</f>
        <v>-14653</v>
      </c>
      <c r="H192" s="3" t="str">
        <f>TEXT(Table2[[#This Row],[Date]],"MMM")</f>
        <v>Jan</v>
      </c>
      <c r="I192" s="3">
        <f>YEAR(Table2[[#This Row],[Date]])</f>
        <v>2026</v>
      </c>
      <c r="J192" s="3">
        <f t="shared" si="2"/>
        <v>450000</v>
      </c>
    </row>
    <row r="193" spans="1:10" x14ac:dyDescent="0.35">
      <c r="A193" s="3" t="s">
        <v>79</v>
      </c>
      <c r="B193" s="3" t="s">
        <v>10</v>
      </c>
      <c r="C193" s="3">
        <v>0</v>
      </c>
      <c r="D193" s="3">
        <v>16199</v>
      </c>
      <c r="E193" s="3" t="s">
        <v>95</v>
      </c>
      <c r="F193" s="3" t="s">
        <v>94</v>
      </c>
      <c r="G193" s="3">
        <f>Table2[[#This Row],[Income]]-Table2[[#This Row],[Expense]]</f>
        <v>-16199</v>
      </c>
      <c r="H193" s="3" t="str">
        <f>TEXT(Table2[[#This Row],[Date]],"MMM")</f>
        <v>Sep</v>
      </c>
      <c r="I193" s="3">
        <f>YEAR(Table2[[#This Row],[Date]])</f>
        <v>2025</v>
      </c>
      <c r="J193" s="3">
        <f t="shared" si="2"/>
        <v>450000</v>
      </c>
    </row>
    <row r="194" spans="1:10" x14ac:dyDescent="0.35">
      <c r="A194" s="3" t="s">
        <v>25</v>
      </c>
      <c r="B194" s="3" t="s">
        <v>22</v>
      </c>
      <c r="C194" s="3">
        <v>0</v>
      </c>
      <c r="D194" s="3">
        <v>18224</v>
      </c>
      <c r="E194" s="3" t="s">
        <v>95</v>
      </c>
      <c r="F194" s="3" t="s">
        <v>98</v>
      </c>
      <c r="G194" s="3">
        <f>Table2[[#This Row],[Income]]-Table2[[#This Row],[Expense]]</f>
        <v>-18224</v>
      </c>
      <c r="H194" s="3" t="str">
        <f>TEXT(Table2[[#This Row],[Date]],"MMM")</f>
        <v>Jan</v>
      </c>
      <c r="I194" s="3">
        <f>YEAR(Table2[[#This Row],[Date]])</f>
        <v>2025</v>
      </c>
      <c r="J194" s="3">
        <f t="shared" ref="J194:J257" si="3">IFERROR(VLOOKUP(B:B,tbl_budget,2,FALSE),0)</f>
        <v>300000</v>
      </c>
    </row>
    <row r="195" spans="1:10" x14ac:dyDescent="0.35">
      <c r="A195" s="3" t="s">
        <v>241</v>
      </c>
      <c r="B195" s="3" t="s">
        <v>10</v>
      </c>
      <c r="C195" s="3">
        <v>0</v>
      </c>
      <c r="D195" s="3">
        <v>11454</v>
      </c>
      <c r="E195" s="3" t="s">
        <v>9</v>
      </c>
      <c r="F195" s="3" t="s">
        <v>94</v>
      </c>
      <c r="G195" s="3">
        <f>Table2[[#This Row],[Income]]-Table2[[#This Row],[Expense]]</f>
        <v>-11454</v>
      </c>
      <c r="H195" s="3" t="str">
        <f>TEXT(Table2[[#This Row],[Date]],"MMM")</f>
        <v>Apr</v>
      </c>
      <c r="I195" s="3">
        <f>YEAR(Table2[[#This Row],[Date]])</f>
        <v>2023</v>
      </c>
      <c r="J195" s="3">
        <f t="shared" si="3"/>
        <v>450000</v>
      </c>
    </row>
    <row r="196" spans="1:10" x14ac:dyDescent="0.35">
      <c r="A196" s="3" t="s">
        <v>52</v>
      </c>
      <c r="B196" s="3" t="s">
        <v>14</v>
      </c>
      <c r="C196" s="3">
        <v>0</v>
      </c>
      <c r="D196" s="3">
        <v>15507</v>
      </c>
      <c r="E196" s="3" t="s">
        <v>95</v>
      </c>
      <c r="F196" s="3" t="s">
        <v>90</v>
      </c>
      <c r="G196" s="3">
        <f>Table2[[#This Row],[Income]]-Table2[[#This Row],[Expense]]</f>
        <v>-15507</v>
      </c>
      <c r="H196" s="3" t="str">
        <f>TEXT(Table2[[#This Row],[Date]],"MMM")</f>
        <v>May</v>
      </c>
      <c r="I196" s="3">
        <f>YEAR(Table2[[#This Row],[Date]])</f>
        <v>2025</v>
      </c>
      <c r="J196" s="3">
        <f t="shared" si="3"/>
        <v>250000</v>
      </c>
    </row>
    <row r="197" spans="1:10" x14ac:dyDescent="0.35">
      <c r="A197" s="3" t="s">
        <v>242</v>
      </c>
      <c r="B197" s="3" t="s">
        <v>8</v>
      </c>
      <c r="C197" s="3">
        <v>21743</v>
      </c>
      <c r="D197" s="3">
        <v>0</v>
      </c>
      <c r="E197" s="3" t="s">
        <v>81</v>
      </c>
      <c r="F197" s="3" t="s">
        <v>87</v>
      </c>
      <c r="G197" s="3">
        <f>Table2[[#This Row],[Income]]-Table2[[#This Row],[Expense]]</f>
        <v>21743</v>
      </c>
      <c r="H197" s="3" t="str">
        <f>TEXT(Table2[[#This Row],[Date]],"MMM")</f>
        <v>Jan</v>
      </c>
      <c r="I197" s="3">
        <f>YEAR(Table2[[#This Row],[Date]])</f>
        <v>2026</v>
      </c>
      <c r="J197" s="3">
        <f t="shared" si="3"/>
        <v>0</v>
      </c>
    </row>
    <row r="198" spans="1:10" x14ac:dyDescent="0.35">
      <c r="A198" s="3" t="s">
        <v>138</v>
      </c>
      <c r="B198" s="3" t="s">
        <v>91</v>
      </c>
      <c r="C198" s="3">
        <v>0</v>
      </c>
      <c r="D198" s="3">
        <v>13689</v>
      </c>
      <c r="E198" s="3" t="s">
        <v>9</v>
      </c>
      <c r="F198" s="3" t="s">
        <v>92</v>
      </c>
      <c r="G198" s="3">
        <f>Table2[[#This Row],[Income]]-Table2[[#This Row],[Expense]]</f>
        <v>-13689</v>
      </c>
      <c r="H198" s="3" t="str">
        <f>TEXT(Table2[[#This Row],[Date]],"MMM")</f>
        <v>Sep</v>
      </c>
      <c r="I198" s="3">
        <f>YEAR(Table2[[#This Row],[Date]])</f>
        <v>2025</v>
      </c>
      <c r="J198" s="3">
        <f t="shared" si="3"/>
        <v>460000</v>
      </c>
    </row>
    <row r="199" spans="1:10" x14ac:dyDescent="0.35">
      <c r="A199" s="3" t="s">
        <v>69</v>
      </c>
      <c r="B199" s="3" t="s">
        <v>91</v>
      </c>
      <c r="C199" s="3">
        <v>0</v>
      </c>
      <c r="D199" s="3">
        <v>22637</v>
      </c>
      <c r="E199" s="3" t="s">
        <v>9</v>
      </c>
      <c r="F199" s="3" t="s">
        <v>92</v>
      </c>
      <c r="G199" s="3">
        <f>Table2[[#This Row],[Income]]-Table2[[#This Row],[Expense]]</f>
        <v>-22637</v>
      </c>
      <c r="H199" s="3" t="str">
        <f>TEXT(Table2[[#This Row],[Date]],"MMM")</f>
        <v>Jul</v>
      </c>
      <c r="I199" s="3">
        <f>YEAR(Table2[[#This Row],[Date]])</f>
        <v>2025</v>
      </c>
      <c r="J199" s="3">
        <f t="shared" si="3"/>
        <v>460000</v>
      </c>
    </row>
    <row r="200" spans="1:10" x14ac:dyDescent="0.35">
      <c r="A200" s="3" t="s">
        <v>115</v>
      </c>
      <c r="B200" s="3" t="s">
        <v>22</v>
      </c>
      <c r="C200" s="3">
        <v>0</v>
      </c>
      <c r="D200" s="3">
        <v>14891</v>
      </c>
      <c r="E200" s="3" t="s">
        <v>12</v>
      </c>
      <c r="F200" s="3" t="s">
        <v>98</v>
      </c>
      <c r="G200" s="3">
        <f>Table2[[#This Row],[Income]]-Table2[[#This Row],[Expense]]</f>
        <v>-14891</v>
      </c>
      <c r="H200" s="3" t="str">
        <f>TEXT(Table2[[#This Row],[Date]],"MMM")</f>
        <v>Jul</v>
      </c>
      <c r="I200" s="3">
        <f>YEAR(Table2[[#This Row],[Date]])</f>
        <v>2023</v>
      </c>
      <c r="J200" s="3">
        <f t="shared" si="3"/>
        <v>300000</v>
      </c>
    </row>
    <row r="201" spans="1:10" x14ac:dyDescent="0.35">
      <c r="A201" s="3" t="s">
        <v>243</v>
      </c>
      <c r="B201" s="3" t="s">
        <v>7</v>
      </c>
      <c r="C201" s="3">
        <v>33187</v>
      </c>
      <c r="D201" s="3">
        <v>0</v>
      </c>
      <c r="E201" s="3" t="s">
        <v>89</v>
      </c>
      <c r="F201" s="3" t="s">
        <v>97</v>
      </c>
      <c r="G201" s="3">
        <f>Table2[[#This Row],[Income]]-Table2[[#This Row],[Expense]]</f>
        <v>33187</v>
      </c>
      <c r="H201" s="3" t="str">
        <f>TEXT(Table2[[#This Row],[Date]],"MMM")</f>
        <v>Mar</v>
      </c>
      <c r="I201" s="3">
        <f>YEAR(Table2[[#This Row],[Date]])</f>
        <v>2026</v>
      </c>
      <c r="J201" s="3">
        <f t="shared" si="3"/>
        <v>0</v>
      </c>
    </row>
    <row r="202" spans="1:10" x14ac:dyDescent="0.35">
      <c r="A202" s="3" t="s">
        <v>70</v>
      </c>
      <c r="B202" s="3" t="s">
        <v>22</v>
      </c>
      <c r="C202" s="3">
        <v>0</v>
      </c>
      <c r="D202" s="3">
        <v>7315</v>
      </c>
      <c r="E202" s="3" t="s">
        <v>89</v>
      </c>
      <c r="F202" s="3" t="s">
        <v>98</v>
      </c>
      <c r="G202" s="3">
        <f>Table2[[#This Row],[Income]]-Table2[[#This Row],[Expense]]</f>
        <v>-7315</v>
      </c>
      <c r="H202" s="3" t="str">
        <f>TEXT(Table2[[#This Row],[Date]],"MMM")</f>
        <v>Jul</v>
      </c>
      <c r="I202" s="3">
        <f>YEAR(Table2[[#This Row],[Date]])</f>
        <v>2025</v>
      </c>
      <c r="J202" s="3">
        <f t="shared" si="3"/>
        <v>300000</v>
      </c>
    </row>
    <row r="203" spans="1:10" x14ac:dyDescent="0.35">
      <c r="A203" s="3" t="s">
        <v>244</v>
      </c>
      <c r="B203" s="3" t="s">
        <v>13</v>
      </c>
      <c r="C203" s="3">
        <v>53304</v>
      </c>
      <c r="D203" s="3">
        <v>0</v>
      </c>
      <c r="E203" s="3" t="s">
        <v>81</v>
      </c>
      <c r="F203" s="3" t="s">
        <v>88</v>
      </c>
      <c r="G203" s="3">
        <f>Table2[[#This Row],[Income]]-Table2[[#This Row],[Expense]]</f>
        <v>53304</v>
      </c>
      <c r="H203" s="3" t="str">
        <f>TEXT(Table2[[#This Row],[Date]],"MMM")</f>
        <v>May</v>
      </c>
      <c r="I203" s="3">
        <f>YEAR(Table2[[#This Row],[Date]])</f>
        <v>2026</v>
      </c>
      <c r="J203" s="3">
        <f t="shared" si="3"/>
        <v>0</v>
      </c>
    </row>
    <row r="204" spans="1:10" x14ac:dyDescent="0.35">
      <c r="A204" s="3" t="s">
        <v>245</v>
      </c>
      <c r="B204" s="3" t="s">
        <v>14</v>
      </c>
      <c r="C204" s="3">
        <v>0</v>
      </c>
      <c r="D204" s="3">
        <v>3339</v>
      </c>
      <c r="E204" s="3" t="s">
        <v>9</v>
      </c>
      <c r="F204" s="3" t="s">
        <v>90</v>
      </c>
      <c r="G204" s="3">
        <f>Table2[[#This Row],[Income]]-Table2[[#This Row],[Expense]]</f>
        <v>-3339</v>
      </c>
      <c r="H204" s="3" t="str">
        <f>TEXT(Table2[[#This Row],[Date]],"MMM")</f>
        <v>Oct</v>
      </c>
      <c r="I204" s="3">
        <f>YEAR(Table2[[#This Row],[Date]])</f>
        <v>2026</v>
      </c>
      <c r="J204" s="3">
        <f t="shared" si="3"/>
        <v>250000</v>
      </c>
    </row>
    <row r="205" spans="1:10" x14ac:dyDescent="0.35">
      <c r="A205" s="3" t="s">
        <v>246</v>
      </c>
      <c r="B205" s="3" t="s">
        <v>13</v>
      </c>
      <c r="C205" s="3">
        <v>55225</v>
      </c>
      <c r="D205" s="3">
        <v>0</v>
      </c>
      <c r="E205" s="3" t="s">
        <v>9</v>
      </c>
      <c r="F205" s="3" t="s">
        <v>88</v>
      </c>
      <c r="G205" s="3">
        <f>Table2[[#This Row],[Income]]-Table2[[#This Row],[Expense]]</f>
        <v>55225</v>
      </c>
      <c r="H205" s="3" t="str">
        <f>TEXT(Table2[[#This Row],[Date]],"MMM")</f>
        <v>Apr</v>
      </c>
      <c r="I205" s="3">
        <f>YEAR(Table2[[#This Row],[Date]])</f>
        <v>2026</v>
      </c>
      <c r="J205" s="3">
        <f t="shared" si="3"/>
        <v>0</v>
      </c>
    </row>
    <row r="206" spans="1:10" x14ac:dyDescent="0.35">
      <c r="A206" s="3" t="s">
        <v>247</v>
      </c>
      <c r="B206" s="3" t="s">
        <v>20</v>
      </c>
      <c r="C206" s="3">
        <v>0</v>
      </c>
      <c r="D206" s="3">
        <v>12061</v>
      </c>
      <c r="E206" s="3" t="s">
        <v>9</v>
      </c>
      <c r="F206" s="3" t="s">
        <v>96</v>
      </c>
      <c r="G206" s="3">
        <f>Table2[[#This Row],[Income]]-Table2[[#This Row],[Expense]]</f>
        <v>-12061</v>
      </c>
      <c r="H206" s="3" t="str">
        <f>TEXT(Table2[[#This Row],[Date]],"MMM")</f>
        <v>May</v>
      </c>
      <c r="I206" s="3">
        <f>YEAR(Table2[[#This Row],[Date]])</f>
        <v>2026</v>
      </c>
      <c r="J206" s="3">
        <f t="shared" si="3"/>
        <v>400000</v>
      </c>
    </row>
    <row r="207" spans="1:10" x14ac:dyDescent="0.35">
      <c r="A207" s="3" t="s">
        <v>248</v>
      </c>
      <c r="B207" s="3" t="s">
        <v>11</v>
      </c>
      <c r="C207" s="3">
        <v>0</v>
      </c>
      <c r="D207" s="3">
        <v>882</v>
      </c>
      <c r="E207" s="3" t="s">
        <v>95</v>
      </c>
      <c r="F207" s="3" t="s">
        <v>93</v>
      </c>
      <c r="G207" s="3">
        <f>Table2[[#This Row],[Income]]-Table2[[#This Row],[Expense]]</f>
        <v>-882</v>
      </c>
      <c r="H207" s="3" t="str">
        <f>TEXT(Table2[[#This Row],[Date]],"MMM")</f>
        <v>Apr</v>
      </c>
      <c r="I207" s="3">
        <f>YEAR(Table2[[#This Row],[Date]])</f>
        <v>2023</v>
      </c>
      <c r="J207" s="3">
        <f t="shared" si="3"/>
        <v>240000</v>
      </c>
    </row>
    <row r="208" spans="1:10" x14ac:dyDescent="0.35">
      <c r="A208" s="3" t="s">
        <v>43</v>
      </c>
      <c r="B208" s="3" t="s">
        <v>85</v>
      </c>
      <c r="C208" s="3">
        <v>53851</v>
      </c>
      <c r="D208" s="3">
        <v>0</v>
      </c>
      <c r="E208" s="3" t="s">
        <v>9</v>
      </c>
      <c r="F208" s="3" t="s">
        <v>86</v>
      </c>
      <c r="G208" s="3">
        <f>Table2[[#This Row],[Income]]-Table2[[#This Row],[Expense]]</f>
        <v>53851</v>
      </c>
      <c r="H208" s="3" t="str">
        <f>TEXT(Table2[[#This Row],[Date]],"MMM")</f>
        <v>Apr</v>
      </c>
      <c r="I208" s="3">
        <f>YEAR(Table2[[#This Row],[Date]])</f>
        <v>2025</v>
      </c>
      <c r="J208" s="3">
        <f t="shared" si="3"/>
        <v>100000</v>
      </c>
    </row>
    <row r="209" spans="1:10" x14ac:dyDescent="0.35">
      <c r="A209" s="3" t="s">
        <v>249</v>
      </c>
      <c r="B209" s="3" t="s">
        <v>11</v>
      </c>
      <c r="C209" s="3">
        <v>0</v>
      </c>
      <c r="D209" s="3">
        <v>601</v>
      </c>
      <c r="E209" s="3" t="s">
        <v>95</v>
      </c>
      <c r="F209" s="3" t="s">
        <v>93</v>
      </c>
      <c r="G209" s="3">
        <f>Table2[[#This Row],[Income]]-Table2[[#This Row],[Expense]]</f>
        <v>-601</v>
      </c>
      <c r="H209" s="3" t="str">
        <f>TEXT(Table2[[#This Row],[Date]],"MMM")</f>
        <v>Jun</v>
      </c>
      <c r="I209" s="3">
        <f>YEAR(Table2[[#This Row],[Date]])</f>
        <v>2026</v>
      </c>
      <c r="J209" s="3">
        <f t="shared" si="3"/>
        <v>240000</v>
      </c>
    </row>
    <row r="210" spans="1:10" x14ac:dyDescent="0.35">
      <c r="A210" s="3" t="s">
        <v>250</v>
      </c>
      <c r="B210" s="3" t="s">
        <v>83</v>
      </c>
      <c r="C210" s="3">
        <v>0</v>
      </c>
      <c r="D210" s="3">
        <v>16351</v>
      </c>
      <c r="E210" s="3" t="s">
        <v>89</v>
      </c>
      <c r="F210" s="3" t="s">
        <v>84</v>
      </c>
      <c r="G210" s="3">
        <f>Table2[[#This Row],[Income]]-Table2[[#This Row],[Expense]]</f>
        <v>-16351</v>
      </c>
      <c r="H210" s="3" t="str">
        <f>TEXT(Table2[[#This Row],[Date]],"MMM")</f>
        <v>Apr</v>
      </c>
      <c r="I210" s="3">
        <f>YEAR(Table2[[#This Row],[Date]])</f>
        <v>2023</v>
      </c>
      <c r="J210" s="3">
        <f t="shared" si="3"/>
        <v>300000</v>
      </c>
    </row>
    <row r="211" spans="1:10" x14ac:dyDescent="0.35">
      <c r="A211" s="3" t="s">
        <v>251</v>
      </c>
      <c r="B211" s="3" t="s">
        <v>10</v>
      </c>
      <c r="C211" s="3">
        <v>0</v>
      </c>
      <c r="D211" s="3">
        <v>24404</v>
      </c>
      <c r="E211" s="3" t="s">
        <v>9</v>
      </c>
      <c r="F211" s="3" t="s">
        <v>94</v>
      </c>
      <c r="G211" s="3">
        <f>Table2[[#This Row],[Income]]-Table2[[#This Row],[Expense]]</f>
        <v>-24404</v>
      </c>
      <c r="H211" s="3" t="str">
        <f>TEXT(Table2[[#This Row],[Date]],"MMM")</f>
        <v>Jan</v>
      </c>
      <c r="I211" s="3">
        <f>YEAR(Table2[[#This Row],[Date]])</f>
        <v>2024</v>
      </c>
      <c r="J211" s="3">
        <f t="shared" si="3"/>
        <v>450000</v>
      </c>
    </row>
    <row r="212" spans="1:10" x14ac:dyDescent="0.35">
      <c r="A212" s="3" t="s">
        <v>252</v>
      </c>
      <c r="B212" s="3" t="s">
        <v>11</v>
      </c>
      <c r="C212" s="3">
        <v>0</v>
      </c>
      <c r="D212" s="3">
        <v>18887</v>
      </c>
      <c r="E212" s="3" t="s">
        <v>12</v>
      </c>
      <c r="F212" s="3" t="s">
        <v>93</v>
      </c>
      <c r="G212" s="3">
        <f>Table2[[#This Row],[Income]]-Table2[[#This Row],[Expense]]</f>
        <v>-18887</v>
      </c>
      <c r="H212" s="3" t="str">
        <f>TEXT(Table2[[#This Row],[Date]],"MMM")</f>
        <v>Mar</v>
      </c>
      <c r="I212" s="3">
        <f>YEAR(Table2[[#This Row],[Date]])</f>
        <v>2023</v>
      </c>
      <c r="J212" s="3">
        <f t="shared" si="3"/>
        <v>240000</v>
      </c>
    </row>
    <row r="213" spans="1:10" x14ac:dyDescent="0.35">
      <c r="A213" s="3" t="s">
        <v>253</v>
      </c>
      <c r="B213" s="3" t="s">
        <v>91</v>
      </c>
      <c r="C213" s="3">
        <v>0</v>
      </c>
      <c r="D213" s="3">
        <v>15158</v>
      </c>
      <c r="E213" s="3" t="s">
        <v>81</v>
      </c>
      <c r="F213" s="3" t="s">
        <v>92</v>
      </c>
      <c r="G213" s="3">
        <f>Table2[[#This Row],[Income]]-Table2[[#This Row],[Expense]]</f>
        <v>-15158</v>
      </c>
      <c r="H213" s="3" t="str">
        <f>TEXT(Table2[[#This Row],[Date]],"MMM")</f>
        <v>Oct</v>
      </c>
      <c r="I213" s="3">
        <f>YEAR(Table2[[#This Row],[Date]])</f>
        <v>2023</v>
      </c>
      <c r="J213" s="3">
        <f t="shared" si="3"/>
        <v>460000</v>
      </c>
    </row>
    <row r="214" spans="1:10" x14ac:dyDescent="0.35">
      <c r="A214" s="3" t="s">
        <v>254</v>
      </c>
      <c r="B214" s="3" t="s">
        <v>83</v>
      </c>
      <c r="C214" s="3">
        <v>0</v>
      </c>
      <c r="D214" s="3">
        <v>5684</v>
      </c>
      <c r="E214" s="3" t="s">
        <v>12</v>
      </c>
      <c r="F214" s="3" t="s">
        <v>84</v>
      </c>
      <c r="G214" s="3">
        <f>Table2[[#This Row],[Income]]-Table2[[#This Row],[Expense]]</f>
        <v>-5684</v>
      </c>
      <c r="H214" s="3" t="str">
        <f>TEXT(Table2[[#This Row],[Date]],"MMM")</f>
        <v>Feb</v>
      </c>
      <c r="I214" s="3">
        <f>YEAR(Table2[[#This Row],[Date]])</f>
        <v>2026</v>
      </c>
      <c r="J214" s="3">
        <f t="shared" si="3"/>
        <v>300000</v>
      </c>
    </row>
    <row r="215" spans="1:10" x14ac:dyDescent="0.35">
      <c r="A215" s="3" t="s">
        <v>255</v>
      </c>
      <c r="B215" s="3" t="s">
        <v>85</v>
      </c>
      <c r="C215" s="3">
        <v>11147</v>
      </c>
      <c r="D215" s="3">
        <v>0</v>
      </c>
      <c r="E215" s="3" t="s">
        <v>9</v>
      </c>
      <c r="F215" s="3" t="s">
        <v>86</v>
      </c>
      <c r="G215" s="3">
        <f>Table2[[#This Row],[Income]]-Table2[[#This Row],[Expense]]</f>
        <v>11147</v>
      </c>
      <c r="H215" s="3" t="str">
        <f>TEXT(Table2[[#This Row],[Date]],"MMM")</f>
        <v>Dec</v>
      </c>
      <c r="I215" s="3">
        <f>YEAR(Table2[[#This Row],[Date]])</f>
        <v>2023</v>
      </c>
      <c r="J215" s="3">
        <f t="shared" si="3"/>
        <v>100000</v>
      </c>
    </row>
    <row r="216" spans="1:10" x14ac:dyDescent="0.35">
      <c r="A216" s="3" t="s">
        <v>256</v>
      </c>
      <c r="B216" s="3" t="s">
        <v>22</v>
      </c>
      <c r="C216" s="3">
        <v>0</v>
      </c>
      <c r="D216" s="3">
        <v>7259</v>
      </c>
      <c r="E216" s="3" t="s">
        <v>9</v>
      </c>
      <c r="F216" s="3" t="s">
        <v>98</v>
      </c>
      <c r="G216" s="3">
        <f>Table2[[#This Row],[Income]]-Table2[[#This Row],[Expense]]</f>
        <v>-7259</v>
      </c>
      <c r="H216" s="3" t="str">
        <f>TEXT(Table2[[#This Row],[Date]],"MMM")</f>
        <v>Jul</v>
      </c>
      <c r="I216" s="3">
        <f>YEAR(Table2[[#This Row],[Date]])</f>
        <v>2026</v>
      </c>
      <c r="J216" s="3">
        <f t="shared" si="3"/>
        <v>300000</v>
      </c>
    </row>
    <row r="217" spans="1:10" x14ac:dyDescent="0.35">
      <c r="A217" s="3" t="s">
        <v>257</v>
      </c>
      <c r="B217" s="3" t="s">
        <v>14</v>
      </c>
      <c r="C217" s="3">
        <v>0</v>
      </c>
      <c r="D217" s="3">
        <v>18660</v>
      </c>
      <c r="E217" s="3" t="s">
        <v>89</v>
      </c>
      <c r="F217" s="3" t="s">
        <v>90</v>
      </c>
      <c r="G217" s="3">
        <f>Table2[[#This Row],[Income]]-Table2[[#This Row],[Expense]]</f>
        <v>-18660</v>
      </c>
      <c r="H217" s="3" t="str">
        <f>TEXT(Table2[[#This Row],[Date]],"MMM")</f>
        <v>Oct</v>
      </c>
      <c r="I217" s="3">
        <f>YEAR(Table2[[#This Row],[Date]])</f>
        <v>2026</v>
      </c>
      <c r="J217" s="3">
        <f t="shared" si="3"/>
        <v>250000</v>
      </c>
    </row>
    <row r="218" spans="1:10" x14ac:dyDescent="0.35">
      <c r="A218" s="3" t="s">
        <v>258</v>
      </c>
      <c r="B218" s="3" t="s">
        <v>85</v>
      </c>
      <c r="C218" s="3">
        <v>60028</v>
      </c>
      <c r="D218" s="3">
        <v>0</v>
      </c>
      <c r="E218" s="3" t="s">
        <v>81</v>
      </c>
      <c r="F218" s="3" t="s">
        <v>86</v>
      </c>
      <c r="G218" s="3">
        <f>Table2[[#This Row],[Income]]-Table2[[#This Row],[Expense]]</f>
        <v>60028</v>
      </c>
      <c r="H218" s="3" t="str">
        <f>TEXT(Table2[[#This Row],[Date]],"MMM")</f>
        <v>Aug</v>
      </c>
      <c r="I218" s="3">
        <f>YEAR(Table2[[#This Row],[Date]])</f>
        <v>2024</v>
      </c>
      <c r="J218" s="3">
        <f t="shared" si="3"/>
        <v>100000</v>
      </c>
    </row>
    <row r="219" spans="1:10" x14ac:dyDescent="0.35">
      <c r="A219" s="3" t="s">
        <v>46</v>
      </c>
      <c r="B219" s="3" t="s">
        <v>83</v>
      </c>
      <c r="C219" s="3">
        <v>0</v>
      </c>
      <c r="D219" s="3">
        <v>23871</v>
      </c>
      <c r="E219" s="3" t="s">
        <v>81</v>
      </c>
      <c r="F219" s="3" t="s">
        <v>84</v>
      </c>
      <c r="G219" s="3">
        <f>Table2[[#This Row],[Income]]-Table2[[#This Row],[Expense]]</f>
        <v>-23871</v>
      </c>
      <c r="H219" s="3" t="str">
        <f>TEXT(Table2[[#This Row],[Date]],"MMM")</f>
        <v>Apr</v>
      </c>
      <c r="I219" s="3">
        <f>YEAR(Table2[[#This Row],[Date]])</f>
        <v>2025</v>
      </c>
      <c r="J219" s="3">
        <f t="shared" si="3"/>
        <v>300000</v>
      </c>
    </row>
    <row r="220" spans="1:10" x14ac:dyDescent="0.35">
      <c r="A220" s="3" t="s">
        <v>32</v>
      </c>
      <c r="B220" s="3" t="s">
        <v>11</v>
      </c>
      <c r="C220" s="3">
        <v>0</v>
      </c>
      <c r="D220" s="3">
        <v>10820</v>
      </c>
      <c r="E220" s="3" t="s">
        <v>95</v>
      </c>
      <c r="F220" s="3" t="s">
        <v>93</v>
      </c>
      <c r="G220" s="3">
        <f>Table2[[#This Row],[Income]]-Table2[[#This Row],[Expense]]</f>
        <v>-10820</v>
      </c>
      <c r="H220" s="3" t="str">
        <f>TEXT(Table2[[#This Row],[Date]],"MMM")</f>
        <v>Feb</v>
      </c>
      <c r="I220" s="3">
        <f>YEAR(Table2[[#This Row],[Date]])</f>
        <v>2025</v>
      </c>
      <c r="J220" s="3">
        <f t="shared" si="3"/>
        <v>240000</v>
      </c>
    </row>
    <row r="221" spans="1:10" x14ac:dyDescent="0.35">
      <c r="A221" s="3" t="s">
        <v>219</v>
      </c>
      <c r="B221" s="3" t="s">
        <v>14</v>
      </c>
      <c r="C221" s="3">
        <v>0</v>
      </c>
      <c r="D221" s="3">
        <v>12499</v>
      </c>
      <c r="E221" s="3" t="s">
        <v>95</v>
      </c>
      <c r="F221" s="3" t="s">
        <v>90</v>
      </c>
      <c r="G221" s="3">
        <f>Table2[[#This Row],[Income]]-Table2[[#This Row],[Expense]]</f>
        <v>-12499</v>
      </c>
      <c r="H221" s="3" t="str">
        <f>TEXT(Table2[[#This Row],[Date]],"MMM")</f>
        <v>Oct</v>
      </c>
      <c r="I221" s="3">
        <f>YEAR(Table2[[#This Row],[Date]])</f>
        <v>2024</v>
      </c>
      <c r="J221" s="3">
        <f t="shared" si="3"/>
        <v>250000</v>
      </c>
    </row>
    <row r="222" spans="1:10" x14ac:dyDescent="0.35">
      <c r="A222" s="3" t="s">
        <v>206</v>
      </c>
      <c r="B222" s="3" t="s">
        <v>80</v>
      </c>
      <c r="C222" s="3">
        <v>0</v>
      </c>
      <c r="D222" s="3">
        <v>21384</v>
      </c>
      <c r="E222" s="3" t="s">
        <v>9</v>
      </c>
      <c r="F222" s="3" t="s">
        <v>82</v>
      </c>
      <c r="G222" s="3">
        <f>Table2[[#This Row],[Income]]-Table2[[#This Row],[Expense]]</f>
        <v>-21384</v>
      </c>
      <c r="H222" s="3" t="str">
        <f>TEXT(Table2[[#This Row],[Date]],"MMM")</f>
        <v>Aug</v>
      </c>
      <c r="I222" s="3">
        <f>YEAR(Table2[[#This Row],[Date]])</f>
        <v>2024</v>
      </c>
      <c r="J222" s="3">
        <f t="shared" si="3"/>
        <v>270000</v>
      </c>
    </row>
    <row r="223" spans="1:10" x14ac:dyDescent="0.35">
      <c r="A223" s="3" t="s">
        <v>259</v>
      </c>
      <c r="B223" s="3" t="s">
        <v>8</v>
      </c>
      <c r="C223" s="3">
        <v>47340</v>
      </c>
      <c r="D223" s="3">
        <v>0</v>
      </c>
      <c r="E223" s="3" t="s">
        <v>9</v>
      </c>
      <c r="F223" s="3" t="s">
        <v>87</v>
      </c>
      <c r="G223" s="3">
        <f>Table2[[#This Row],[Income]]-Table2[[#This Row],[Expense]]</f>
        <v>47340</v>
      </c>
      <c r="H223" s="3" t="str">
        <f>TEXT(Table2[[#This Row],[Date]],"MMM")</f>
        <v>Dec</v>
      </c>
      <c r="I223" s="3">
        <f>YEAR(Table2[[#This Row],[Date]])</f>
        <v>2026</v>
      </c>
      <c r="J223" s="3">
        <f t="shared" si="3"/>
        <v>0</v>
      </c>
    </row>
    <row r="224" spans="1:10" x14ac:dyDescent="0.35">
      <c r="A224" s="3" t="s">
        <v>260</v>
      </c>
      <c r="B224" s="3" t="s">
        <v>20</v>
      </c>
      <c r="C224" s="3">
        <v>0</v>
      </c>
      <c r="D224" s="3">
        <v>21046</v>
      </c>
      <c r="E224" s="3" t="s">
        <v>12</v>
      </c>
      <c r="F224" s="3" t="s">
        <v>96</v>
      </c>
      <c r="G224" s="3">
        <f>Table2[[#This Row],[Income]]-Table2[[#This Row],[Expense]]</f>
        <v>-21046</v>
      </c>
      <c r="H224" s="3" t="str">
        <f>TEXT(Table2[[#This Row],[Date]],"MMM")</f>
        <v>Sep</v>
      </c>
      <c r="I224" s="3">
        <f>YEAR(Table2[[#This Row],[Date]])</f>
        <v>2024</v>
      </c>
      <c r="J224" s="3">
        <f t="shared" si="3"/>
        <v>400000</v>
      </c>
    </row>
    <row r="225" spans="1:10" x14ac:dyDescent="0.35">
      <c r="A225" s="3" t="s">
        <v>216</v>
      </c>
      <c r="B225" s="3" t="s">
        <v>83</v>
      </c>
      <c r="C225" s="3">
        <v>0</v>
      </c>
      <c r="D225" s="3">
        <v>17621</v>
      </c>
      <c r="E225" s="3" t="s">
        <v>95</v>
      </c>
      <c r="F225" s="3" t="s">
        <v>84</v>
      </c>
      <c r="G225" s="3">
        <f>Table2[[#This Row],[Income]]-Table2[[#This Row],[Expense]]</f>
        <v>-17621</v>
      </c>
      <c r="H225" s="3" t="str">
        <f>TEXT(Table2[[#This Row],[Date]],"MMM")</f>
        <v>Oct</v>
      </c>
      <c r="I225" s="3">
        <f>YEAR(Table2[[#This Row],[Date]])</f>
        <v>2025</v>
      </c>
      <c r="J225" s="3">
        <f t="shared" si="3"/>
        <v>300000</v>
      </c>
    </row>
    <row r="226" spans="1:10" x14ac:dyDescent="0.35">
      <c r="A226" s="3" t="s">
        <v>261</v>
      </c>
      <c r="B226" s="3" t="s">
        <v>8</v>
      </c>
      <c r="C226" s="3">
        <v>43721</v>
      </c>
      <c r="D226" s="3">
        <v>0</v>
      </c>
      <c r="E226" s="3" t="s">
        <v>81</v>
      </c>
      <c r="F226" s="3" t="s">
        <v>87</v>
      </c>
      <c r="G226" s="3">
        <f>Table2[[#This Row],[Income]]-Table2[[#This Row],[Expense]]</f>
        <v>43721</v>
      </c>
      <c r="H226" s="3" t="str">
        <f>TEXT(Table2[[#This Row],[Date]],"MMM")</f>
        <v>Dec</v>
      </c>
      <c r="I226" s="3">
        <f>YEAR(Table2[[#This Row],[Date]])</f>
        <v>2025</v>
      </c>
      <c r="J226" s="3">
        <f t="shared" si="3"/>
        <v>0</v>
      </c>
    </row>
    <row r="227" spans="1:10" x14ac:dyDescent="0.35">
      <c r="A227" s="3" t="s">
        <v>262</v>
      </c>
      <c r="B227" s="3" t="s">
        <v>85</v>
      </c>
      <c r="C227" s="3">
        <v>52458</v>
      </c>
      <c r="D227" s="3">
        <v>0</v>
      </c>
      <c r="E227" s="3" t="s">
        <v>95</v>
      </c>
      <c r="F227" s="3" t="s">
        <v>86</v>
      </c>
      <c r="G227" s="3">
        <f>Table2[[#This Row],[Income]]-Table2[[#This Row],[Expense]]</f>
        <v>52458</v>
      </c>
      <c r="H227" s="3" t="str">
        <f>TEXT(Table2[[#This Row],[Date]],"MMM")</f>
        <v>May</v>
      </c>
      <c r="I227" s="3">
        <f>YEAR(Table2[[#This Row],[Date]])</f>
        <v>2026</v>
      </c>
      <c r="J227" s="3">
        <f t="shared" si="3"/>
        <v>100000</v>
      </c>
    </row>
    <row r="228" spans="1:10" x14ac:dyDescent="0.35">
      <c r="A228" s="3" t="s">
        <v>54</v>
      </c>
      <c r="B228" s="3" t="s">
        <v>8</v>
      </c>
      <c r="C228" s="3">
        <v>65824</v>
      </c>
      <c r="D228" s="3">
        <v>0</v>
      </c>
      <c r="E228" s="3" t="s">
        <v>81</v>
      </c>
      <c r="F228" s="3" t="s">
        <v>87</v>
      </c>
      <c r="G228" s="3">
        <f>Table2[[#This Row],[Income]]-Table2[[#This Row],[Expense]]</f>
        <v>65824</v>
      </c>
      <c r="H228" s="3" t="str">
        <f>TEXT(Table2[[#This Row],[Date]],"MMM")</f>
        <v>May</v>
      </c>
      <c r="I228" s="3">
        <f>YEAR(Table2[[#This Row],[Date]])</f>
        <v>2025</v>
      </c>
      <c r="J228" s="3">
        <f t="shared" si="3"/>
        <v>0</v>
      </c>
    </row>
    <row r="229" spans="1:10" x14ac:dyDescent="0.35">
      <c r="A229" s="3" t="s">
        <v>263</v>
      </c>
      <c r="B229" s="3" t="s">
        <v>22</v>
      </c>
      <c r="C229" s="3">
        <v>0</v>
      </c>
      <c r="D229" s="3">
        <v>1729</v>
      </c>
      <c r="E229" s="3" t="s">
        <v>95</v>
      </c>
      <c r="F229" s="3" t="s">
        <v>98</v>
      </c>
      <c r="G229" s="3">
        <f>Table2[[#This Row],[Income]]-Table2[[#This Row],[Expense]]</f>
        <v>-1729</v>
      </c>
      <c r="H229" s="3" t="str">
        <f>TEXT(Table2[[#This Row],[Date]],"MMM")</f>
        <v>Feb</v>
      </c>
      <c r="I229" s="3">
        <f>YEAR(Table2[[#This Row],[Date]])</f>
        <v>2023</v>
      </c>
      <c r="J229" s="3">
        <f t="shared" si="3"/>
        <v>300000</v>
      </c>
    </row>
    <row r="230" spans="1:10" x14ac:dyDescent="0.35">
      <c r="A230" s="3" t="s">
        <v>264</v>
      </c>
      <c r="B230" s="3" t="s">
        <v>91</v>
      </c>
      <c r="C230" s="3">
        <v>0</v>
      </c>
      <c r="D230" s="3">
        <v>13205</v>
      </c>
      <c r="E230" s="3" t="s">
        <v>89</v>
      </c>
      <c r="F230" s="3" t="s">
        <v>92</v>
      </c>
      <c r="G230" s="3">
        <f>Table2[[#This Row],[Income]]-Table2[[#This Row],[Expense]]</f>
        <v>-13205</v>
      </c>
      <c r="H230" s="3" t="str">
        <f>TEXT(Table2[[#This Row],[Date]],"MMM")</f>
        <v>Sep</v>
      </c>
      <c r="I230" s="3">
        <f>YEAR(Table2[[#This Row],[Date]])</f>
        <v>2026</v>
      </c>
      <c r="J230" s="3">
        <f t="shared" si="3"/>
        <v>460000</v>
      </c>
    </row>
    <row r="231" spans="1:10" x14ac:dyDescent="0.35">
      <c r="A231" s="3" t="s">
        <v>158</v>
      </c>
      <c r="B231" s="3" t="s">
        <v>7</v>
      </c>
      <c r="C231" s="3">
        <v>57388</v>
      </c>
      <c r="D231" s="3">
        <v>0</v>
      </c>
      <c r="E231" s="3" t="s">
        <v>9</v>
      </c>
      <c r="F231" s="3" t="s">
        <v>97</v>
      </c>
      <c r="G231" s="3">
        <f>Table2[[#This Row],[Income]]-Table2[[#This Row],[Expense]]</f>
        <v>57388</v>
      </c>
      <c r="H231" s="3" t="str">
        <f>TEXT(Table2[[#This Row],[Date]],"MMM")</f>
        <v>Feb</v>
      </c>
      <c r="I231" s="3">
        <f>YEAR(Table2[[#This Row],[Date]])</f>
        <v>2026</v>
      </c>
      <c r="J231" s="3">
        <f t="shared" si="3"/>
        <v>0</v>
      </c>
    </row>
    <row r="232" spans="1:10" x14ac:dyDescent="0.35">
      <c r="A232" s="3" t="s">
        <v>53</v>
      </c>
      <c r="B232" s="3" t="s">
        <v>91</v>
      </c>
      <c r="C232" s="3">
        <v>0</v>
      </c>
      <c r="D232" s="3">
        <v>13914</v>
      </c>
      <c r="E232" s="3" t="s">
        <v>81</v>
      </c>
      <c r="F232" s="3" t="s">
        <v>92</v>
      </c>
      <c r="G232" s="3">
        <f>Table2[[#This Row],[Income]]-Table2[[#This Row],[Expense]]</f>
        <v>-13914</v>
      </c>
      <c r="H232" s="3" t="str">
        <f>TEXT(Table2[[#This Row],[Date]],"MMM")</f>
        <v>May</v>
      </c>
      <c r="I232" s="3">
        <f>YEAR(Table2[[#This Row],[Date]])</f>
        <v>2025</v>
      </c>
      <c r="J232" s="3">
        <f t="shared" si="3"/>
        <v>460000</v>
      </c>
    </row>
    <row r="233" spans="1:10" x14ac:dyDescent="0.35">
      <c r="A233" s="3" t="s">
        <v>265</v>
      </c>
      <c r="B233" s="3" t="s">
        <v>14</v>
      </c>
      <c r="C233" s="3">
        <v>0</v>
      </c>
      <c r="D233" s="3">
        <v>5241</v>
      </c>
      <c r="E233" s="3" t="s">
        <v>81</v>
      </c>
      <c r="F233" s="3" t="s">
        <v>90</v>
      </c>
      <c r="G233" s="3">
        <f>Table2[[#This Row],[Income]]-Table2[[#This Row],[Expense]]</f>
        <v>-5241</v>
      </c>
      <c r="H233" s="3" t="str">
        <f>TEXT(Table2[[#This Row],[Date]],"MMM")</f>
        <v>Feb</v>
      </c>
      <c r="I233" s="3">
        <f>YEAR(Table2[[#This Row],[Date]])</f>
        <v>2024</v>
      </c>
      <c r="J233" s="3">
        <f t="shared" si="3"/>
        <v>250000</v>
      </c>
    </row>
    <row r="234" spans="1:10" x14ac:dyDescent="0.35">
      <c r="A234" s="3" t="s">
        <v>266</v>
      </c>
      <c r="B234" s="3" t="s">
        <v>13</v>
      </c>
      <c r="C234" s="3">
        <v>10435</v>
      </c>
      <c r="D234" s="3">
        <v>0</v>
      </c>
      <c r="E234" s="3" t="s">
        <v>12</v>
      </c>
      <c r="F234" s="3" t="s">
        <v>88</v>
      </c>
      <c r="G234" s="3">
        <f>Table2[[#This Row],[Income]]-Table2[[#This Row],[Expense]]</f>
        <v>10435</v>
      </c>
      <c r="H234" s="3" t="str">
        <f>TEXT(Table2[[#This Row],[Date]],"MMM")</f>
        <v>Jan</v>
      </c>
      <c r="I234" s="3">
        <f>YEAR(Table2[[#This Row],[Date]])</f>
        <v>2024</v>
      </c>
      <c r="J234" s="3">
        <f t="shared" si="3"/>
        <v>0</v>
      </c>
    </row>
    <row r="235" spans="1:10" x14ac:dyDescent="0.35">
      <c r="A235" s="3" t="s">
        <v>267</v>
      </c>
      <c r="B235" s="3" t="s">
        <v>10</v>
      </c>
      <c r="C235" s="3">
        <v>0</v>
      </c>
      <c r="D235" s="3">
        <v>24811</v>
      </c>
      <c r="E235" s="3" t="s">
        <v>95</v>
      </c>
      <c r="F235" s="3" t="s">
        <v>94</v>
      </c>
      <c r="G235" s="3">
        <f>Table2[[#This Row],[Income]]-Table2[[#This Row],[Expense]]</f>
        <v>-24811</v>
      </c>
      <c r="H235" s="3" t="str">
        <f>TEXT(Table2[[#This Row],[Date]],"MMM")</f>
        <v>Aug</v>
      </c>
      <c r="I235" s="3">
        <f>YEAR(Table2[[#This Row],[Date]])</f>
        <v>2026</v>
      </c>
      <c r="J235" s="3">
        <f t="shared" si="3"/>
        <v>450000</v>
      </c>
    </row>
    <row r="236" spans="1:10" x14ac:dyDescent="0.35">
      <c r="A236" s="3" t="s">
        <v>268</v>
      </c>
      <c r="B236" s="3" t="s">
        <v>10</v>
      </c>
      <c r="C236" s="3">
        <v>0</v>
      </c>
      <c r="D236" s="3">
        <v>20105</v>
      </c>
      <c r="E236" s="3" t="s">
        <v>12</v>
      </c>
      <c r="F236" s="3" t="s">
        <v>94</v>
      </c>
      <c r="G236" s="3">
        <f>Table2[[#This Row],[Income]]-Table2[[#This Row],[Expense]]</f>
        <v>-20105</v>
      </c>
      <c r="H236" s="3" t="str">
        <f>TEXT(Table2[[#This Row],[Date]],"MMM")</f>
        <v>Sep</v>
      </c>
      <c r="I236" s="3">
        <f>YEAR(Table2[[#This Row],[Date]])</f>
        <v>2026</v>
      </c>
      <c r="J236" s="3">
        <f t="shared" si="3"/>
        <v>450000</v>
      </c>
    </row>
    <row r="237" spans="1:10" x14ac:dyDescent="0.35">
      <c r="A237" s="3" t="s">
        <v>34</v>
      </c>
      <c r="B237" s="3" t="s">
        <v>11</v>
      </c>
      <c r="C237" s="3">
        <v>0</v>
      </c>
      <c r="D237" s="3">
        <v>2476</v>
      </c>
      <c r="E237" s="3" t="s">
        <v>9</v>
      </c>
      <c r="F237" s="3" t="s">
        <v>93</v>
      </c>
      <c r="G237" s="3">
        <f>Table2[[#This Row],[Income]]-Table2[[#This Row],[Expense]]</f>
        <v>-2476</v>
      </c>
      <c r="H237" s="3" t="str">
        <f>TEXT(Table2[[#This Row],[Date]],"MMM")</f>
        <v>Feb</v>
      </c>
      <c r="I237" s="3">
        <f>YEAR(Table2[[#This Row],[Date]])</f>
        <v>2025</v>
      </c>
      <c r="J237" s="3">
        <f t="shared" si="3"/>
        <v>240000</v>
      </c>
    </row>
    <row r="238" spans="1:10" x14ac:dyDescent="0.35">
      <c r="A238" s="3" t="s">
        <v>269</v>
      </c>
      <c r="B238" s="3" t="s">
        <v>7</v>
      </c>
      <c r="C238" s="3">
        <v>77012</v>
      </c>
      <c r="D238" s="3">
        <v>0</v>
      </c>
      <c r="E238" s="3" t="s">
        <v>9</v>
      </c>
      <c r="F238" s="3" t="s">
        <v>97</v>
      </c>
      <c r="G238" s="3">
        <f>Table2[[#This Row],[Income]]-Table2[[#This Row],[Expense]]</f>
        <v>77012</v>
      </c>
      <c r="H238" s="3" t="str">
        <f>TEXT(Table2[[#This Row],[Date]],"MMM")</f>
        <v>Feb</v>
      </c>
      <c r="I238" s="3">
        <f>YEAR(Table2[[#This Row],[Date]])</f>
        <v>2023</v>
      </c>
      <c r="J238" s="3">
        <f t="shared" si="3"/>
        <v>0</v>
      </c>
    </row>
    <row r="239" spans="1:10" x14ac:dyDescent="0.35">
      <c r="A239" s="3" t="s">
        <v>270</v>
      </c>
      <c r="B239" s="3" t="s">
        <v>91</v>
      </c>
      <c r="C239" s="3">
        <v>0</v>
      </c>
      <c r="D239" s="3">
        <v>21109</v>
      </c>
      <c r="E239" s="3" t="s">
        <v>12</v>
      </c>
      <c r="F239" s="3" t="s">
        <v>92</v>
      </c>
      <c r="G239" s="3">
        <f>Table2[[#This Row],[Income]]-Table2[[#This Row],[Expense]]</f>
        <v>-21109</v>
      </c>
      <c r="H239" s="3" t="str">
        <f>TEXT(Table2[[#This Row],[Date]],"MMM")</f>
        <v>Aug</v>
      </c>
      <c r="I239" s="3">
        <f>YEAR(Table2[[#This Row],[Date]])</f>
        <v>2023</v>
      </c>
      <c r="J239" s="3">
        <f t="shared" si="3"/>
        <v>460000</v>
      </c>
    </row>
    <row r="240" spans="1:10" x14ac:dyDescent="0.35">
      <c r="A240" s="3" t="s">
        <v>271</v>
      </c>
      <c r="B240" s="3" t="s">
        <v>8</v>
      </c>
      <c r="C240" s="3">
        <v>20680</v>
      </c>
      <c r="D240" s="3">
        <v>0</v>
      </c>
      <c r="E240" s="3" t="s">
        <v>95</v>
      </c>
      <c r="F240" s="3" t="s">
        <v>87</v>
      </c>
      <c r="G240" s="3">
        <f>Table2[[#This Row],[Income]]-Table2[[#This Row],[Expense]]</f>
        <v>20680</v>
      </c>
      <c r="H240" s="3" t="str">
        <f>TEXT(Table2[[#This Row],[Date]],"MMM")</f>
        <v>Dec</v>
      </c>
      <c r="I240" s="3">
        <f>YEAR(Table2[[#This Row],[Date]])</f>
        <v>2025</v>
      </c>
      <c r="J240" s="3">
        <f t="shared" si="3"/>
        <v>0</v>
      </c>
    </row>
    <row r="241" spans="1:10" x14ac:dyDescent="0.35">
      <c r="A241" s="3" t="s">
        <v>272</v>
      </c>
      <c r="B241" s="3" t="s">
        <v>91</v>
      </c>
      <c r="C241" s="3">
        <v>0</v>
      </c>
      <c r="D241" s="3">
        <v>15062</v>
      </c>
      <c r="E241" s="3" t="s">
        <v>89</v>
      </c>
      <c r="F241" s="3" t="s">
        <v>92</v>
      </c>
      <c r="G241" s="3">
        <f>Table2[[#This Row],[Income]]-Table2[[#This Row],[Expense]]</f>
        <v>-15062</v>
      </c>
      <c r="H241" s="3" t="str">
        <f>TEXT(Table2[[#This Row],[Date]],"MMM")</f>
        <v>Apr</v>
      </c>
      <c r="I241" s="3">
        <f>YEAR(Table2[[#This Row],[Date]])</f>
        <v>2024</v>
      </c>
      <c r="J241" s="3">
        <f t="shared" si="3"/>
        <v>460000</v>
      </c>
    </row>
    <row r="242" spans="1:10" x14ac:dyDescent="0.35">
      <c r="A242" s="3" t="s">
        <v>189</v>
      </c>
      <c r="B242" s="3" t="s">
        <v>13</v>
      </c>
      <c r="C242" s="3">
        <v>69458</v>
      </c>
      <c r="D242" s="3">
        <v>0</v>
      </c>
      <c r="E242" s="3" t="s">
        <v>89</v>
      </c>
      <c r="F242" s="3" t="s">
        <v>88</v>
      </c>
      <c r="G242" s="3">
        <f>Table2[[#This Row],[Income]]-Table2[[#This Row],[Expense]]</f>
        <v>69458</v>
      </c>
      <c r="H242" s="3" t="str">
        <f>TEXT(Table2[[#This Row],[Date]],"MMM")</f>
        <v>Oct</v>
      </c>
      <c r="I242" s="3">
        <f>YEAR(Table2[[#This Row],[Date]])</f>
        <v>2025</v>
      </c>
      <c r="J242" s="3">
        <f t="shared" si="3"/>
        <v>0</v>
      </c>
    </row>
    <row r="243" spans="1:10" x14ac:dyDescent="0.35">
      <c r="A243" s="3" t="s">
        <v>273</v>
      </c>
      <c r="B243" s="3" t="s">
        <v>80</v>
      </c>
      <c r="C243" s="3">
        <v>0</v>
      </c>
      <c r="D243" s="3">
        <v>2697</v>
      </c>
      <c r="E243" s="3" t="s">
        <v>81</v>
      </c>
      <c r="F243" s="3" t="s">
        <v>82</v>
      </c>
      <c r="G243" s="3">
        <f>Table2[[#This Row],[Income]]-Table2[[#This Row],[Expense]]</f>
        <v>-2697</v>
      </c>
      <c r="H243" s="3" t="str">
        <f>TEXT(Table2[[#This Row],[Date]],"MMM")</f>
        <v>Nov</v>
      </c>
      <c r="I243" s="3">
        <f>YEAR(Table2[[#This Row],[Date]])</f>
        <v>2023</v>
      </c>
      <c r="J243" s="3">
        <f t="shared" si="3"/>
        <v>270000</v>
      </c>
    </row>
    <row r="244" spans="1:10" x14ac:dyDescent="0.35">
      <c r="A244" s="3" t="s">
        <v>61</v>
      </c>
      <c r="B244" s="3" t="s">
        <v>85</v>
      </c>
      <c r="C244" s="3">
        <v>46066</v>
      </c>
      <c r="D244" s="3">
        <v>0</v>
      </c>
      <c r="E244" s="3" t="s">
        <v>95</v>
      </c>
      <c r="F244" s="3" t="s">
        <v>86</v>
      </c>
      <c r="G244" s="3">
        <f>Table2[[#This Row],[Income]]-Table2[[#This Row],[Expense]]</f>
        <v>46066</v>
      </c>
      <c r="H244" s="3" t="str">
        <f>TEXT(Table2[[#This Row],[Date]],"MMM")</f>
        <v>Jun</v>
      </c>
      <c r="I244" s="3">
        <f>YEAR(Table2[[#This Row],[Date]])</f>
        <v>2025</v>
      </c>
      <c r="J244" s="3">
        <f t="shared" si="3"/>
        <v>100000</v>
      </c>
    </row>
    <row r="245" spans="1:10" x14ac:dyDescent="0.35">
      <c r="A245" s="3" t="s">
        <v>274</v>
      </c>
      <c r="B245" s="3" t="s">
        <v>7</v>
      </c>
      <c r="C245" s="3">
        <v>17188</v>
      </c>
      <c r="D245" s="3">
        <v>0</v>
      </c>
      <c r="E245" s="3" t="s">
        <v>95</v>
      </c>
      <c r="F245" s="3" t="s">
        <v>97</v>
      </c>
      <c r="G245" s="3">
        <f>Table2[[#This Row],[Income]]-Table2[[#This Row],[Expense]]</f>
        <v>17188</v>
      </c>
      <c r="H245" s="3" t="str">
        <f>TEXT(Table2[[#This Row],[Date]],"MMM")</f>
        <v>Jun</v>
      </c>
      <c r="I245" s="3">
        <f>YEAR(Table2[[#This Row],[Date]])</f>
        <v>2023</v>
      </c>
      <c r="J245" s="3">
        <f t="shared" si="3"/>
        <v>0</v>
      </c>
    </row>
    <row r="246" spans="1:10" x14ac:dyDescent="0.35">
      <c r="A246" s="3" t="s">
        <v>275</v>
      </c>
      <c r="B246" s="3" t="s">
        <v>14</v>
      </c>
      <c r="C246" s="3">
        <v>0</v>
      </c>
      <c r="D246" s="3">
        <v>9965</v>
      </c>
      <c r="E246" s="3" t="s">
        <v>12</v>
      </c>
      <c r="F246" s="3" t="s">
        <v>90</v>
      </c>
      <c r="G246" s="3">
        <f>Table2[[#This Row],[Income]]-Table2[[#This Row],[Expense]]</f>
        <v>-9965</v>
      </c>
      <c r="H246" s="3" t="str">
        <f>TEXT(Table2[[#This Row],[Date]],"MMM")</f>
        <v>Aug</v>
      </c>
      <c r="I246" s="3">
        <f>YEAR(Table2[[#This Row],[Date]])</f>
        <v>2026</v>
      </c>
      <c r="J246" s="3">
        <f t="shared" si="3"/>
        <v>250000</v>
      </c>
    </row>
    <row r="247" spans="1:10" x14ac:dyDescent="0.35">
      <c r="A247" s="3" t="s">
        <v>64</v>
      </c>
      <c r="B247" s="3" t="s">
        <v>91</v>
      </c>
      <c r="C247" s="3">
        <v>0</v>
      </c>
      <c r="D247" s="3">
        <v>14188</v>
      </c>
      <c r="E247" s="3" t="s">
        <v>9</v>
      </c>
      <c r="F247" s="3" t="s">
        <v>92</v>
      </c>
      <c r="G247" s="3">
        <f>Table2[[#This Row],[Income]]-Table2[[#This Row],[Expense]]</f>
        <v>-14188</v>
      </c>
      <c r="H247" s="3" t="str">
        <f>TEXT(Table2[[#This Row],[Date]],"MMM")</f>
        <v>Jul</v>
      </c>
      <c r="I247" s="3">
        <f>YEAR(Table2[[#This Row],[Date]])</f>
        <v>2025</v>
      </c>
      <c r="J247" s="3">
        <f t="shared" si="3"/>
        <v>460000</v>
      </c>
    </row>
    <row r="248" spans="1:10" x14ac:dyDescent="0.35">
      <c r="A248" s="3" t="s">
        <v>276</v>
      </c>
      <c r="B248" s="3" t="s">
        <v>91</v>
      </c>
      <c r="C248" s="3">
        <v>0</v>
      </c>
      <c r="D248" s="3">
        <v>14194</v>
      </c>
      <c r="E248" s="3" t="s">
        <v>95</v>
      </c>
      <c r="F248" s="3" t="s">
        <v>92</v>
      </c>
      <c r="G248" s="3">
        <f>Table2[[#This Row],[Income]]-Table2[[#This Row],[Expense]]</f>
        <v>-14194</v>
      </c>
      <c r="H248" s="3" t="str">
        <f>TEXT(Table2[[#This Row],[Date]],"MMM")</f>
        <v>Jul</v>
      </c>
      <c r="I248" s="3">
        <f>YEAR(Table2[[#This Row],[Date]])</f>
        <v>2023</v>
      </c>
      <c r="J248" s="3">
        <f t="shared" si="3"/>
        <v>460000</v>
      </c>
    </row>
    <row r="249" spans="1:10" x14ac:dyDescent="0.35">
      <c r="A249" s="3" t="s">
        <v>277</v>
      </c>
      <c r="B249" s="3" t="s">
        <v>13</v>
      </c>
      <c r="C249" s="3">
        <v>28203</v>
      </c>
      <c r="D249" s="3">
        <v>0</v>
      </c>
      <c r="E249" s="3" t="s">
        <v>81</v>
      </c>
      <c r="F249" s="3" t="s">
        <v>88</v>
      </c>
      <c r="G249" s="3">
        <f>Table2[[#This Row],[Income]]-Table2[[#This Row],[Expense]]</f>
        <v>28203</v>
      </c>
      <c r="H249" s="3" t="str">
        <f>TEXT(Table2[[#This Row],[Date]],"MMM")</f>
        <v>Dec</v>
      </c>
      <c r="I249" s="3">
        <f>YEAR(Table2[[#This Row],[Date]])</f>
        <v>2024</v>
      </c>
      <c r="J249" s="3">
        <f t="shared" si="3"/>
        <v>0</v>
      </c>
    </row>
    <row r="250" spans="1:10" x14ac:dyDescent="0.35">
      <c r="A250" s="3" t="s">
        <v>278</v>
      </c>
      <c r="B250" s="3" t="s">
        <v>13</v>
      </c>
      <c r="C250" s="3">
        <v>61544</v>
      </c>
      <c r="D250" s="3">
        <v>0</v>
      </c>
      <c r="E250" s="3" t="s">
        <v>89</v>
      </c>
      <c r="F250" s="3" t="s">
        <v>88</v>
      </c>
      <c r="G250" s="3">
        <f>Table2[[#This Row],[Income]]-Table2[[#This Row],[Expense]]</f>
        <v>61544</v>
      </c>
      <c r="H250" s="3" t="str">
        <f>TEXT(Table2[[#This Row],[Date]],"MMM")</f>
        <v>Sep</v>
      </c>
      <c r="I250" s="3">
        <f>YEAR(Table2[[#This Row],[Date]])</f>
        <v>2025</v>
      </c>
      <c r="J250" s="3">
        <f t="shared" si="3"/>
        <v>0</v>
      </c>
    </row>
    <row r="251" spans="1:10" x14ac:dyDescent="0.35">
      <c r="A251" s="3" t="s">
        <v>279</v>
      </c>
      <c r="B251" s="3" t="s">
        <v>7</v>
      </c>
      <c r="C251" s="3">
        <v>71120</v>
      </c>
      <c r="D251" s="3">
        <v>0</v>
      </c>
      <c r="E251" s="3" t="s">
        <v>89</v>
      </c>
      <c r="F251" s="3" t="s">
        <v>97</v>
      </c>
      <c r="G251" s="3">
        <f>Table2[[#This Row],[Income]]-Table2[[#This Row],[Expense]]</f>
        <v>71120</v>
      </c>
      <c r="H251" s="3" t="str">
        <f>TEXT(Table2[[#This Row],[Date]],"MMM")</f>
        <v>Aug</v>
      </c>
      <c r="I251" s="3">
        <f>YEAR(Table2[[#This Row],[Date]])</f>
        <v>2026</v>
      </c>
      <c r="J251" s="3">
        <f t="shared" si="3"/>
        <v>0</v>
      </c>
    </row>
    <row r="252" spans="1:10" x14ac:dyDescent="0.35">
      <c r="A252" s="3" t="s">
        <v>42</v>
      </c>
      <c r="B252" s="3" t="s">
        <v>83</v>
      </c>
      <c r="C252" s="3">
        <v>0</v>
      </c>
      <c r="D252" s="3">
        <v>21174</v>
      </c>
      <c r="E252" s="3" t="s">
        <v>9</v>
      </c>
      <c r="F252" s="3" t="s">
        <v>84</v>
      </c>
      <c r="G252" s="3">
        <f>Table2[[#This Row],[Income]]-Table2[[#This Row],[Expense]]</f>
        <v>-21174</v>
      </c>
      <c r="H252" s="3" t="str">
        <f>TEXT(Table2[[#This Row],[Date]],"MMM")</f>
        <v>Apr</v>
      </c>
      <c r="I252" s="3">
        <f>YEAR(Table2[[#This Row],[Date]])</f>
        <v>2025</v>
      </c>
      <c r="J252" s="3">
        <f t="shared" si="3"/>
        <v>300000</v>
      </c>
    </row>
    <row r="253" spans="1:10" x14ac:dyDescent="0.35">
      <c r="A253" s="3" t="s">
        <v>280</v>
      </c>
      <c r="B253" s="3" t="s">
        <v>14</v>
      </c>
      <c r="C253" s="3">
        <v>0</v>
      </c>
      <c r="D253" s="3">
        <v>22946</v>
      </c>
      <c r="E253" s="3" t="s">
        <v>12</v>
      </c>
      <c r="F253" s="3" t="s">
        <v>90</v>
      </c>
      <c r="G253" s="3">
        <f>Table2[[#This Row],[Income]]-Table2[[#This Row],[Expense]]</f>
        <v>-22946</v>
      </c>
      <c r="H253" s="3" t="str">
        <f>TEXT(Table2[[#This Row],[Date]],"MMM")</f>
        <v>Jun</v>
      </c>
      <c r="I253" s="3">
        <f>YEAR(Table2[[#This Row],[Date]])</f>
        <v>2026</v>
      </c>
      <c r="J253" s="3">
        <f t="shared" si="3"/>
        <v>250000</v>
      </c>
    </row>
    <row r="254" spans="1:10" x14ac:dyDescent="0.35">
      <c r="A254" s="3" t="s">
        <v>134</v>
      </c>
      <c r="B254" s="3" t="s">
        <v>22</v>
      </c>
      <c r="C254" s="3">
        <v>0</v>
      </c>
      <c r="D254" s="3">
        <v>11025</v>
      </c>
      <c r="E254" s="3" t="s">
        <v>89</v>
      </c>
      <c r="F254" s="3" t="s">
        <v>98</v>
      </c>
      <c r="G254" s="3">
        <f>Table2[[#This Row],[Income]]-Table2[[#This Row],[Expense]]</f>
        <v>-11025</v>
      </c>
      <c r="H254" s="3" t="str">
        <f>TEXT(Table2[[#This Row],[Date]],"MMM")</f>
        <v>Aug</v>
      </c>
      <c r="I254" s="3">
        <f>YEAR(Table2[[#This Row],[Date]])</f>
        <v>2024</v>
      </c>
      <c r="J254" s="3">
        <f t="shared" si="3"/>
        <v>300000</v>
      </c>
    </row>
    <row r="255" spans="1:10" x14ac:dyDescent="0.35">
      <c r="A255" s="3" t="s">
        <v>259</v>
      </c>
      <c r="B255" s="3" t="s">
        <v>83</v>
      </c>
      <c r="C255" s="3">
        <v>0</v>
      </c>
      <c r="D255" s="3">
        <v>17152</v>
      </c>
      <c r="E255" s="3" t="s">
        <v>81</v>
      </c>
      <c r="F255" s="3" t="s">
        <v>84</v>
      </c>
      <c r="G255" s="3">
        <f>Table2[[#This Row],[Income]]-Table2[[#This Row],[Expense]]</f>
        <v>-17152</v>
      </c>
      <c r="H255" s="3" t="str">
        <f>TEXT(Table2[[#This Row],[Date]],"MMM")</f>
        <v>Dec</v>
      </c>
      <c r="I255" s="3">
        <f>YEAR(Table2[[#This Row],[Date]])</f>
        <v>2026</v>
      </c>
      <c r="J255" s="3">
        <f t="shared" si="3"/>
        <v>300000</v>
      </c>
    </row>
    <row r="256" spans="1:10" x14ac:dyDescent="0.35">
      <c r="A256" s="3" t="s">
        <v>281</v>
      </c>
      <c r="B256" s="3" t="s">
        <v>85</v>
      </c>
      <c r="C256" s="3">
        <v>28388</v>
      </c>
      <c r="D256" s="3">
        <v>0</v>
      </c>
      <c r="E256" s="3" t="s">
        <v>9</v>
      </c>
      <c r="F256" s="3" t="s">
        <v>86</v>
      </c>
      <c r="G256" s="3">
        <f>Table2[[#This Row],[Income]]-Table2[[#This Row],[Expense]]</f>
        <v>28388</v>
      </c>
      <c r="H256" s="3" t="str">
        <f>TEXT(Table2[[#This Row],[Date]],"MMM")</f>
        <v>Nov</v>
      </c>
      <c r="I256" s="3">
        <f>YEAR(Table2[[#This Row],[Date]])</f>
        <v>2025</v>
      </c>
      <c r="J256" s="3">
        <f t="shared" si="3"/>
        <v>100000</v>
      </c>
    </row>
    <row r="257" spans="1:10" x14ac:dyDescent="0.35">
      <c r="A257" s="3" t="s">
        <v>282</v>
      </c>
      <c r="B257" s="3" t="s">
        <v>20</v>
      </c>
      <c r="C257" s="3">
        <v>0</v>
      </c>
      <c r="D257" s="3">
        <v>8909</v>
      </c>
      <c r="E257" s="3" t="s">
        <v>95</v>
      </c>
      <c r="F257" s="3" t="s">
        <v>96</v>
      </c>
      <c r="G257" s="3">
        <f>Table2[[#This Row],[Income]]-Table2[[#This Row],[Expense]]</f>
        <v>-8909</v>
      </c>
      <c r="H257" s="3" t="str">
        <f>TEXT(Table2[[#This Row],[Date]],"MMM")</f>
        <v>Jun</v>
      </c>
      <c r="I257" s="3">
        <f>YEAR(Table2[[#This Row],[Date]])</f>
        <v>2024</v>
      </c>
      <c r="J257" s="3">
        <f t="shared" si="3"/>
        <v>400000</v>
      </c>
    </row>
    <row r="258" spans="1:10" x14ac:dyDescent="0.35">
      <c r="A258" s="3" t="s">
        <v>283</v>
      </c>
      <c r="B258" s="3" t="s">
        <v>80</v>
      </c>
      <c r="C258" s="3">
        <v>0</v>
      </c>
      <c r="D258" s="3">
        <v>2765</v>
      </c>
      <c r="E258" s="3" t="s">
        <v>81</v>
      </c>
      <c r="F258" s="3" t="s">
        <v>82</v>
      </c>
      <c r="G258" s="3">
        <f>Table2[[#This Row],[Income]]-Table2[[#This Row],[Expense]]</f>
        <v>-2765</v>
      </c>
      <c r="H258" s="3" t="str">
        <f>TEXT(Table2[[#This Row],[Date]],"MMM")</f>
        <v>Apr</v>
      </c>
      <c r="I258" s="3">
        <f>YEAR(Table2[[#This Row],[Date]])</f>
        <v>2023</v>
      </c>
      <c r="J258" s="3">
        <f t="shared" ref="J258:J301" si="4">IFERROR(VLOOKUP(B:B,tbl_budget,2,FALSE),0)</f>
        <v>270000</v>
      </c>
    </row>
    <row r="259" spans="1:10" x14ac:dyDescent="0.35">
      <c r="A259" s="3" t="s">
        <v>284</v>
      </c>
      <c r="B259" s="3" t="s">
        <v>13</v>
      </c>
      <c r="C259" s="3">
        <v>37828</v>
      </c>
      <c r="D259" s="3">
        <v>0</v>
      </c>
      <c r="E259" s="3" t="s">
        <v>81</v>
      </c>
      <c r="F259" s="3" t="s">
        <v>88</v>
      </c>
      <c r="G259" s="3">
        <f>Table2[[#This Row],[Income]]-Table2[[#This Row],[Expense]]</f>
        <v>37828</v>
      </c>
      <c r="H259" s="3" t="str">
        <f>TEXT(Table2[[#This Row],[Date]],"MMM")</f>
        <v>Mar</v>
      </c>
      <c r="I259" s="3">
        <f>YEAR(Table2[[#This Row],[Date]])</f>
        <v>2024</v>
      </c>
      <c r="J259" s="3">
        <f t="shared" si="4"/>
        <v>0</v>
      </c>
    </row>
    <row r="260" spans="1:10" x14ac:dyDescent="0.35">
      <c r="A260" s="3" t="s">
        <v>285</v>
      </c>
      <c r="B260" s="3" t="s">
        <v>22</v>
      </c>
      <c r="C260" s="3">
        <v>0</v>
      </c>
      <c r="D260" s="3">
        <v>14328</v>
      </c>
      <c r="E260" s="3" t="s">
        <v>9</v>
      </c>
      <c r="F260" s="3" t="s">
        <v>98</v>
      </c>
      <c r="G260" s="3">
        <f>Table2[[#This Row],[Income]]-Table2[[#This Row],[Expense]]</f>
        <v>-14328</v>
      </c>
      <c r="H260" s="3" t="str">
        <f>TEXT(Table2[[#This Row],[Date]],"MMM")</f>
        <v>Dec</v>
      </c>
      <c r="I260" s="3">
        <f>YEAR(Table2[[#This Row],[Date]])</f>
        <v>2025</v>
      </c>
      <c r="J260" s="3">
        <f t="shared" si="4"/>
        <v>300000</v>
      </c>
    </row>
    <row r="261" spans="1:10" x14ac:dyDescent="0.35">
      <c r="A261" s="3" t="s">
        <v>286</v>
      </c>
      <c r="B261" s="3" t="s">
        <v>20</v>
      </c>
      <c r="C261" s="3">
        <v>0</v>
      </c>
      <c r="D261" s="3">
        <v>426</v>
      </c>
      <c r="E261" s="3" t="s">
        <v>95</v>
      </c>
      <c r="F261" s="3" t="s">
        <v>96</v>
      </c>
      <c r="G261" s="3">
        <f>Table2[[#This Row],[Income]]-Table2[[#This Row],[Expense]]</f>
        <v>-426</v>
      </c>
      <c r="H261" s="3" t="str">
        <f>TEXT(Table2[[#This Row],[Date]],"MMM")</f>
        <v>Oct</v>
      </c>
      <c r="I261" s="3">
        <f>YEAR(Table2[[#This Row],[Date]])</f>
        <v>2025</v>
      </c>
      <c r="J261" s="3">
        <f t="shared" si="4"/>
        <v>400000</v>
      </c>
    </row>
    <row r="262" spans="1:10" x14ac:dyDescent="0.35">
      <c r="A262" s="3" t="s">
        <v>200</v>
      </c>
      <c r="B262" s="3" t="s">
        <v>14</v>
      </c>
      <c r="C262" s="3">
        <v>0</v>
      </c>
      <c r="D262" s="3">
        <v>8260</v>
      </c>
      <c r="E262" s="3" t="s">
        <v>95</v>
      </c>
      <c r="F262" s="3" t="s">
        <v>90</v>
      </c>
      <c r="G262" s="3">
        <f>Table2[[#This Row],[Income]]-Table2[[#This Row],[Expense]]</f>
        <v>-8260</v>
      </c>
      <c r="H262" s="3" t="str">
        <f>TEXT(Table2[[#This Row],[Date]],"MMM")</f>
        <v>Mar</v>
      </c>
      <c r="I262" s="3">
        <f>YEAR(Table2[[#This Row],[Date]])</f>
        <v>2024</v>
      </c>
      <c r="J262" s="3">
        <f t="shared" si="4"/>
        <v>250000</v>
      </c>
    </row>
    <row r="263" spans="1:10" x14ac:dyDescent="0.35">
      <c r="A263" s="3" t="s">
        <v>287</v>
      </c>
      <c r="B263" s="3" t="s">
        <v>13</v>
      </c>
      <c r="C263" s="3">
        <v>19904</v>
      </c>
      <c r="D263" s="3">
        <v>0</v>
      </c>
      <c r="E263" s="3" t="s">
        <v>9</v>
      </c>
      <c r="F263" s="3" t="s">
        <v>88</v>
      </c>
      <c r="G263" s="3">
        <f>Table2[[#This Row],[Income]]-Table2[[#This Row],[Expense]]</f>
        <v>19904</v>
      </c>
      <c r="H263" s="3" t="str">
        <f>TEXT(Table2[[#This Row],[Date]],"MMM")</f>
        <v>Jul</v>
      </c>
      <c r="I263" s="3">
        <f>YEAR(Table2[[#This Row],[Date]])</f>
        <v>2024</v>
      </c>
      <c r="J263" s="3">
        <f t="shared" si="4"/>
        <v>0</v>
      </c>
    </row>
    <row r="264" spans="1:10" x14ac:dyDescent="0.35">
      <c r="A264" s="3" t="s">
        <v>288</v>
      </c>
      <c r="B264" s="3" t="s">
        <v>80</v>
      </c>
      <c r="C264" s="3">
        <v>0</v>
      </c>
      <c r="D264" s="3">
        <v>5642</v>
      </c>
      <c r="E264" s="3" t="s">
        <v>12</v>
      </c>
      <c r="F264" s="3" t="s">
        <v>82</v>
      </c>
      <c r="G264" s="3">
        <f>Table2[[#This Row],[Income]]-Table2[[#This Row],[Expense]]</f>
        <v>-5642</v>
      </c>
      <c r="H264" s="3" t="str">
        <f>TEXT(Table2[[#This Row],[Date]],"MMM")</f>
        <v>Oct</v>
      </c>
      <c r="I264" s="3">
        <f>YEAR(Table2[[#This Row],[Date]])</f>
        <v>2026</v>
      </c>
      <c r="J264" s="3">
        <f t="shared" si="4"/>
        <v>270000</v>
      </c>
    </row>
    <row r="265" spans="1:10" x14ac:dyDescent="0.35">
      <c r="A265" s="3" t="s">
        <v>201</v>
      </c>
      <c r="B265" s="3" t="s">
        <v>11</v>
      </c>
      <c r="C265" s="3">
        <v>0</v>
      </c>
      <c r="D265" s="3">
        <v>10368</v>
      </c>
      <c r="E265" s="3" t="s">
        <v>95</v>
      </c>
      <c r="F265" s="3" t="s">
        <v>93</v>
      </c>
      <c r="G265" s="3">
        <f>Table2[[#This Row],[Income]]-Table2[[#This Row],[Expense]]</f>
        <v>-10368</v>
      </c>
      <c r="H265" s="3" t="str">
        <f>TEXT(Table2[[#This Row],[Date]],"MMM")</f>
        <v>Sep</v>
      </c>
      <c r="I265" s="3">
        <f>YEAR(Table2[[#This Row],[Date]])</f>
        <v>2023</v>
      </c>
      <c r="J265" s="3">
        <f t="shared" si="4"/>
        <v>240000</v>
      </c>
    </row>
    <row r="266" spans="1:10" x14ac:dyDescent="0.35">
      <c r="A266" s="3" t="s">
        <v>72</v>
      </c>
      <c r="B266" s="3" t="s">
        <v>7</v>
      </c>
      <c r="C266" s="3">
        <v>23707</v>
      </c>
      <c r="D266" s="3">
        <v>0</v>
      </c>
      <c r="E266" s="3" t="s">
        <v>95</v>
      </c>
      <c r="F266" s="3" t="s">
        <v>97</v>
      </c>
      <c r="G266" s="3">
        <f>Table2[[#This Row],[Income]]-Table2[[#This Row],[Expense]]</f>
        <v>23707</v>
      </c>
      <c r="H266" s="3" t="str">
        <f>TEXT(Table2[[#This Row],[Date]],"MMM")</f>
        <v>Aug</v>
      </c>
      <c r="I266" s="3">
        <f>YEAR(Table2[[#This Row],[Date]])</f>
        <v>2025</v>
      </c>
      <c r="J266" s="3">
        <f t="shared" si="4"/>
        <v>0</v>
      </c>
    </row>
    <row r="267" spans="1:10" x14ac:dyDescent="0.35">
      <c r="A267" s="3" t="s">
        <v>289</v>
      </c>
      <c r="B267" s="3" t="s">
        <v>83</v>
      </c>
      <c r="C267" s="3">
        <v>0</v>
      </c>
      <c r="D267" s="3">
        <v>18318</v>
      </c>
      <c r="E267" s="3" t="s">
        <v>81</v>
      </c>
      <c r="F267" s="3" t="s">
        <v>84</v>
      </c>
      <c r="G267" s="3">
        <f>Table2[[#This Row],[Income]]-Table2[[#This Row],[Expense]]</f>
        <v>-18318</v>
      </c>
      <c r="H267" s="3" t="str">
        <f>TEXT(Table2[[#This Row],[Date]],"MMM")</f>
        <v>Oct</v>
      </c>
      <c r="I267" s="3">
        <f>YEAR(Table2[[#This Row],[Date]])</f>
        <v>2024</v>
      </c>
      <c r="J267" s="3">
        <f t="shared" si="4"/>
        <v>300000</v>
      </c>
    </row>
    <row r="268" spans="1:10" x14ac:dyDescent="0.35">
      <c r="A268" s="3" t="s">
        <v>62</v>
      </c>
      <c r="B268" s="3" t="s">
        <v>91</v>
      </c>
      <c r="C268" s="3">
        <v>0</v>
      </c>
      <c r="D268" s="3">
        <v>16978</v>
      </c>
      <c r="E268" s="3" t="s">
        <v>9</v>
      </c>
      <c r="F268" s="3" t="s">
        <v>92</v>
      </c>
      <c r="G268" s="3">
        <f>Table2[[#This Row],[Income]]-Table2[[#This Row],[Expense]]</f>
        <v>-16978</v>
      </c>
      <c r="H268" s="3" t="str">
        <f>TEXT(Table2[[#This Row],[Date]],"MMM")</f>
        <v>Jun</v>
      </c>
      <c r="I268" s="3">
        <f>YEAR(Table2[[#This Row],[Date]])</f>
        <v>2025</v>
      </c>
      <c r="J268" s="3">
        <f t="shared" si="4"/>
        <v>460000</v>
      </c>
    </row>
    <row r="269" spans="1:10" x14ac:dyDescent="0.35">
      <c r="A269" s="3" t="s">
        <v>290</v>
      </c>
      <c r="B269" s="3" t="s">
        <v>20</v>
      </c>
      <c r="C269" s="3">
        <v>0</v>
      </c>
      <c r="D269" s="3">
        <v>17703</v>
      </c>
      <c r="E269" s="3" t="s">
        <v>95</v>
      </c>
      <c r="F269" s="3" t="s">
        <v>96</v>
      </c>
      <c r="G269" s="3">
        <f>Table2[[#This Row],[Income]]-Table2[[#This Row],[Expense]]</f>
        <v>-17703</v>
      </c>
      <c r="H269" s="3" t="str">
        <f>TEXT(Table2[[#This Row],[Date]],"MMM")</f>
        <v>Nov</v>
      </c>
      <c r="I269" s="3">
        <f>YEAR(Table2[[#This Row],[Date]])</f>
        <v>2024</v>
      </c>
      <c r="J269" s="3">
        <f t="shared" si="4"/>
        <v>400000</v>
      </c>
    </row>
    <row r="270" spans="1:10" x14ac:dyDescent="0.35">
      <c r="A270" s="3" t="s">
        <v>36</v>
      </c>
      <c r="B270" s="3" t="s">
        <v>11</v>
      </c>
      <c r="C270" s="3">
        <v>0</v>
      </c>
      <c r="D270" s="3">
        <v>18607</v>
      </c>
      <c r="E270" s="3" t="s">
        <v>81</v>
      </c>
      <c r="F270" s="3" t="s">
        <v>93</v>
      </c>
      <c r="G270" s="3">
        <f>Table2[[#This Row],[Income]]-Table2[[#This Row],[Expense]]</f>
        <v>-18607</v>
      </c>
      <c r="H270" s="3" t="str">
        <f>TEXT(Table2[[#This Row],[Date]],"MMM")</f>
        <v>Mar</v>
      </c>
      <c r="I270" s="3">
        <f>YEAR(Table2[[#This Row],[Date]])</f>
        <v>2025</v>
      </c>
      <c r="J270" s="3">
        <f t="shared" si="4"/>
        <v>240000</v>
      </c>
    </row>
    <row r="271" spans="1:10" x14ac:dyDescent="0.35">
      <c r="A271" s="3" t="s">
        <v>291</v>
      </c>
      <c r="B271" s="3" t="s">
        <v>10</v>
      </c>
      <c r="C271" s="3">
        <v>0</v>
      </c>
      <c r="D271" s="3">
        <v>11765</v>
      </c>
      <c r="E271" s="3" t="s">
        <v>9</v>
      </c>
      <c r="F271" s="3" t="s">
        <v>94</v>
      </c>
      <c r="G271" s="3">
        <f>Table2[[#This Row],[Income]]-Table2[[#This Row],[Expense]]</f>
        <v>-11765</v>
      </c>
      <c r="H271" s="3" t="str">
        <f>TEXT(Table2[[#This Row],[Date]],"MMM")</f>
        <v>Oct</v>
      </c>
      <c r="I271" s="3">
        <f>YEAR(Table2[[#This Row],[Date]])</f>
        <v>2024</v>
      </c>
      <c r="J271" s="3">
        <f t="shared" si="4"/>
        <v>450000</v>
      </c>
    </row>
    <row r="272" spans="1:10" x14ac:dyDescent="0.35">
      <c r="A272" s="3" t="s">
        <v>292</v>
      </c>
      <c r="B272" s="3" t="s">
        <v>10</v>
      </c>
      <c r="C272" s="3">
        <v>0</v>
      </c>
      <c r="D272" s="3">
        <v>18199</v>
      </c>
      <c r="E272" s="3" t="s">
        <v>95</v>
      </c>
      <c r="F272" s="3" t="s">
        <v>94</v>
      </c>
      <c r="G272" s="3">
        <f>Table2[[#This Row],[Income]]-Table2[[#This Row],[Expense]]</f>
        <v>-18199</v>
      </c>
      <c r="H272" s="3" t="str">
        <f>TEXT(Table2[[#This Row],[Date]],"MMM")</f>
        <v>Jul</v>
      </c>
      <c r="I272" s="3">
        <f>YEAR(Table2[[#This Row],[Date]])</f>
        <v>2024</v>
      </c>
      <c r="J272" s="3">
        <f t="shared" si="4"/>
        <v>450000</v>
      </c>
    </row>
    <row r="273" spans="1:10" x14ac:dyDescent="0.35">
      <c r="A273" s="3" t="s">
        <v>293</v>
      </c>
      <c r="B273" s="3" t="s">
        <v>13</v>
      </c>
      <c r="C273" s="3">
        <v>56765</v>
      </c>
      <c r="D273" s="3">
        <v>0</v>
      </c>
      <c r="E273" s="3" t="s">
        <v>9</v>
      </c>
      <c r="F273" s="3" t="s">
        <v>88</v>
      </c>
      <c r="G273" s="3">
        <f>Table2[[#This Row],[Income]]-Table2[[#This Row],[Expense]]</f>
        <v>56765</v>
      </c>
      <c r="H273" s="3" t="str">
        <f>TEXT(Table2[[#This Row],[Date]],"MMM")</f>
        <v>Jul</v>
      </c>
      <c r="I273" s="3">
        <f>YEAR(Table2[[#This Row],[Date]])</f>
        <v>2026</v>
      </c>
      <c r="J273" s="3">
        <f t="shared" si="4"/>
        <v>0</v>
      </c>
    </row>
    <row r="274" spans="1:10" x14ac:dyDescent="0.35">
      <c r="A274" s="3" t="s">
        <v>287</v>
      </c>
      <c r="B274" s="3" t="s">
        <v>13</v>
      </c>
      <c r="C274" s="3">
        <v>54341</v>
      </c>
      <c r="D274" s="3">
        <v>0</v>
      </c>
      <c r="E274" s="3" t="s">
        <v>12</v>
      </c>
      <c r="F274" s="3" t="s">
        <v>88</v>
      </c>
      <c r="G274" s="3">
        <f>Table2[[#This Row],[Income]]-Table2[[#This Row],[Expense]]</f>
        <v>54341</v>
      </c>
      <c r="H274" s="3" t="str">
        <f>TEXT(Table2[[#This Row],[Date]],"MMM")</f>
        <v>Jul</v>
      </c>
      <c r="I274" s="3">
        <f>YEAR(Table2[[#This Row],[Date]])</f>
        <v>2024</v>
      </c>
      <c r="J274" s="3">
        <f t="shared" si="4"/>
        <v>0</v>
      </c>
    </row>
    <row r="275" spans="1:10" x14ac:dyDescent="0.35">
      <c r="A275" s="3" t="s">
        <v>294</v>
      </c>
      <c r="B275" s="3" t="s">
        <v>7</v>
      </c>
      <c r="C275" s="3">
        <v>58614</v>
      </c>
      <c r="D275" s="3">
        <v>0</v>
      </c>
      <c r="E275" s="3" t="s">
        <v>95</v>
      </c>
      <c r="F275" s="3" t="s">
        <v>97</v>
      </c>
      <c r="G275" s="3">
        <f>Table2[[#This Row],[Income]]-Table2[[#This Row],[Expense]]</f>
        <v>58614</v>
      </c>
      <c r="H275" s="3" t="str">
        <f>TEXT(Table2[[#This Row],[Date]],"MMM")</f>
        <v>Feb</v>
      </c>
      <c r="I275" s="3">
        <f>YEAR(Table2[[#This Row],[Date]])</f>
        <v>2024</v>
      </c>
      <c r="J275" s="3">
        <f t="shared" si="4"/>
        <v>0</v>
      </c>
    </row>
    <row r="276" spans="1:10" x14ac:dyDescent="0.35">
      <c r="A276" s="3" t="s">
        <v>78</v>
      </c>
      <c r="B276" s="3" t="s">
        <v>22</v>
      </c>
      <c r="C276" s="3">
        <v>0</v>
      </c>
      <c r="D276" s="3">
        <v>24026</v>
      </c>
      <c r="E276" s="3" t="s">
        <v>12</v>
      </c>
      <c r="F276" s="3" t="s">
        <v>98</v>
      </c>
      <c r="G276" s="3">
        <f>Table2[[#This Row],[Income]]-Table2[[#This Row],[Expense]]</f>
        <v>-24026</v>
      </c>
      <c r="H276" s="3" t="str">
        <f>TEXT(Table2[[#This Row],[Date]],"MMM")</f>
        <v>Sep</v>
      </c>
      <c r="I276" s="3">
        <f>YEAR(Table2[[#This Row],[Date]])</f>
        <v>2025</v>
      </c>
      <c r="J276" s="3">
        <f t="shared" si="4"/>
        <v>300000</v>
      </c>
    </row>
    <row r="277" spans="1:10" x14ac:dyDescent="0.35">
      <c r="A277" s="3" t="s">
        <v>295</v>
      </c>
      <c r="B277" s="3" t="s">
        <v>20</v>
      </c>
      <c r="C277" s="3">
        <v>0</v>
      </c>
      <c r="D277" s="3">
        <v>21196</v>
      </c>
      <c r="E277" s="3" t="s">
        <v>12</v>
      </c>
      <c r="F277" s="3" t="s">
        <v>96</v>
      </c>
      <c r="G277" s="3">
        <f>Table2[[#This Row],[Income]]-Table2[[#This Row],[Expense]]</f>
        <v>-21196</v>
      </c>
      <c r="H277" s="3" t="str">
        <f>TEXT(Table2[[#This Row],[Date]],"MMM")</f>
        <v>May</v>
      </c>
      <c r="I277" s="3">
        <f>YEAR(Table2[[#This Row],[Date]])</f>
        <v>2024</v>
      </c>
      <c r="J277" s="3">
        <f t="shared" si="4"/>
        <v>400000</v>
      </c>
    </row>
    <row r="278" spans="1:10" x14ac:dyDescent="0.35">
      <c r="A278" s="3" t="s">
        <v>296</v>
      </c>
      <c r="B278" s="3" t="s">
        <v>14</v>
      </c>
      <c r="C278" s="3">
        <v>0</v>
      </c>
      <c r="D278" s="3">
        <v>5488</v>
      </c>
      <c r="E278" s="3" t="s">
        <v>95</v>
      </c>
      <c r="F278" s="3" t="s">
        <v>90</v>
      </c>
      <c r="G278" s="3">
        <f>Table2[[#This Row],[Income]]-Table2[[#This Row],[Expense]]</f>
        <v>-5488</v>
      </c>
      <c r="H278" s="3" t="str">
        <f>TEXT(Table2[[#This Row],[Date]],"MMM")</f>
        <v>Dec</v>
      </c>
      <c r="I278" s="3">
        <f>YEAR(Table2[[#This Row],[Date]])</f>
        <v>2023</v>
      </c>
      <c r="J278" s="3">
        <f t="shared" si="4"/>
        <v>250000</v>
      </c>
    </row>
    <row r="279" spans="1:10" x14ac:dyDescent="0.35">
      <c r="A279" s="3" t="s">
        <v>297</v>
      </c>
      <c r="B279" s="3" t="s">
        <v>11</v>
      </c>
      <c r="C279" s="3">
        <v>0</v>
      </c>
      <c r="D279" s="3">
        <v>4452</v>
      </c>
      <c r="E279" s="3" t="s">
        <v>81</v>
      </c>
      <c r="F279" s="3" t="s">
        <v>93</v>
      </c>
      <c r="G279" s="3">
        <f>Table2[[#This Row],[Income]]-Table2[[#This Row],[Expense]]</f>
        <v>-4452</v>
      </c>
      <c r="H279" s="3" t="str">
        <f>TEXT(Table2[[#This Row],[Date]],"MMM")</f>
        <v>Feb</v>
      </c>
      <c r="I279" s="3">
        <f>YEAR(Table2[[#This Row],[Date]])</f>
        <v>2026</v>
      </c>
      <c r="J279" s="3">
        <f t="shared" si="4"/>
        <v>240000</v>
      </c>
    </row>
    <row r="280" spans="1:10" x14ac:dyDescent="0.35">
      <c r="A280" s="3" t="s">
        <v>298</v>
      </c>
      <c r="B280" s="3" t="s">
        <v>7</v>
      </c>
      <c r="C280" s="3">
        <v>37241</v>
      </c>
      <c r="D280" s="3">
        <v>0</v>
      </c>
      <c r="E280" s="3" t="s">
        <v>81</v>
      </c>
      <c r="F280" s="3" t="s">
        <v>97</v>
      </c>
      <c r="G280" s="3">
        <f>Table2[[#This Row],[Income]]-Table2[[#This Row],[Expense]]</f>
        <v>37241</v>
      </c>
      <c r="H280" s="3" t="str">
        <f>TEXT(Table2[[#This Row],[Date]],"MMM")</f>
        <v>Oct</v>
      </c>
      <c r="I280" s="3">
        <f>YEAR(Table2[[#This Row],[Date]])</f>
        <v>2026</v>
      </c>
      <c r="J280" s="3">
        <f t="shared" si="4"/>
        <v>0</v>
      </c>
    </row>
    <row r="281" spans="1:10" x14ac:dyDescent="0.35">
      <c r="A281" s="3" t="s">
        <v>299</v>
      </c>
      <c r="B281" s="3" t="s">
        <v>11</v>
      </c>
      <c r="C281" s="3">
        <v>0</v>
      </c>
      <c r="D281" s="3">
        <v>11155</v>
      </c>
      <c r="E281" s="3" t="s">
        <v>81</v>
      </c>
      <c r="F281" s="3" t="s">
        <v>93</v>
      </c>
      <c r="G281" s="3">
        <f>Table2[[#This Row],[Income]]-Table2[[#This Row],[Expense]]</f>
        <v>-11155</v>
      </c>
      <c r="H281" s="3" t="str">
        <f>TEXT(Table2[[#This Row],[Date]],"MMM")</f>
        <v>Jan</v>
      </c>
      <c r="I281" s="3">
        <f>YEAR(Table2[[#This Row],[Date]])</f>
        <v>2026</v>
      </c>
      <c r="J281" s="3">
        <f t="shared" si="4"/>
        <v>240000</v>
      </c>
    </row>
    <row r="282" spans="1:10" x14ac:dyDescent="0.35">
      <c r="A282" s="3" t="s">
        <v>173</v>
      </c>
      <c r="B282" s="3" t="s">
        <v>20</v>
      </c>
      <c r="C282" s="3">
        <v>0</v>
      </c>
      <c r="D282" s="3">
        <v>18860</v>
      </c>
      <c r="E282" s="3" t="s">
        <v>9</v>
      </c>
      <c r="F282" s="3" t="s">
        <v>96</v>
      </c>
      <c r="G282" s="3">
        <f>Table2[[#This Row],[Income]]-Table2[[#This Row],[Expense]]</f>
        <v>-18860</v>
      </c>
      <c r="H282" s="3" t="str">
        <f>TEXT(Table2[[#This Row],[Date]],"MMM")</f>
        <v>Nov</v>
      </c>
      <c r="I282" s="3">
        <f>YEAR(Table2[[#This Row],[Date]])</f>
        <v>2024</v>
      </c>
      <c r="J282" s="3">
        <f t="shared" si="4"/>
        <v>400000</v>
      </c>
    </row>
    <row r="283" spans="1:10" x14ac:dyDescent="0.35">
      <c r="A283" s="3" t="s">
        <v>33</v>
      </c>
      <c r="B283" s="3" t="s">
        <v>22</v>
      </c>
      <c r="C283" s="3">
        <v>0</v>
      </c>
      <c r="D283" s="3">
        <v>22148</v>
      </c>
      <c r="E283" s="3" t="s">
        <v>12</v>
      </c>
      <c r="F283" s="3" t="s">
        <v>98</v>
      </c>
      <c r="G283" s="3">
        <f>Table2[[#This Row],[Income]]-Table2[[#This Row],[Expense]]</f>
        <v>-22148</v>
      </c>
      <c r="H283" s="3" t="str">
        <f>TEXT(Table2[[#This Row],[Date]],"MMM")</f>
        <v>Feb</v>
      </c>
      <c r="I283" s="3">
        <f>YEAR(Table2[[#This Row],[Date]])</f>
        <v>2025</v>
      </c>
      <c r="J283" s="3">
        <f t="shared" si="4"/>
        <v>300000</v>
      </c>
    </row>
    <row r="284" spans="1:10" x14ac:dyDescent="0.35">
      <c r="A284" s="3" t="s">
        <v>300</v>
      </c>
      <c r="B284" s="3" t="s">
        <v>91</v>
      </c>
      <c r="C284" s="3">
        <v>0</v>
      </c>
      <c r="D284" s="3">
        <v>17083</v>
      </c>
      <c r="E284" s="3" t="s">
        <v>95</v>
      </c>
      <c r="F284" s="3" t="s">
        <v>92</v>
      </c>
      <c r="G284" s="3">
        <f>Table2[[#This Row],[Income]]-Table2[[#This Row],[Expense]]</f>
        <v>-17083</v>
      </c>
      <c r="H284" s="3" t="str">
        <f>TEXT(Table2[[#This Row],[Date]],"MMM")</f>
        <v>Jan</v>
      </c>
      <c r="I284" s="3">
        <f>YEAR(Table2[[#This Row],[Date]])</f>
        <v>2026</v>
      </c>
      <c r="J284" s="3">
        <f t="shared" si="4"/>
        <v>460000</v>
      </c>
    </row>
    <row r="285" spans="1:10" x14ac:dyDescent="0.35">
      <c r="A285" s="3" t="s">
        <v>301</v>
      </c>
      <c r="B285" s="3" t="s">
        <v>83</v>
      </c>
      <c r="C285" s="3">
        <v>0</v>
      </c>
      <c r="D285" s="3">
        <v>7043</v>
      </c>
      <c r="E285" s="3" t="s">
        <v>81</v>
      </c>
      <c r="F285" s="3" t="s">
        <v>84</v>
      </c>
      <c r="G285" s="3">
        <f>Table2[[#This Row],[Income]]-Table2[[#This Row],[Expense]]</f>
        <v>-7043</v>
      </c>
      <c r="H285" s="3" t="str">
        <f>TEXT(Table2[[#This Row],[Date]],"MMM")</f>
        <v>Aug</v>
      </c>
      <c r="I285" s="3">
        <f>YEAR(Table2[[#This Row],[Date]])</f>
        <v>2026</v>
      </c>
      <c r="J285" s="3">
        <f t="shared" si="4"/>
        <v>300000</v>
      </c>
    </row>
    <row r="286" spans="1:10" x14ac:dyDescent="0.35">
      <c r="A286" s="3" t="s">
        <v>44</v>
      </c>
      <c r="B286" s="3" t="s">
        <v>13</v>
      </c>
      <c r="C286" s="3">
        <v>15720</v>
      </c>
      <c r="D286" s="3">
        <v>0</v>
      </c>
      <c r="E286" s="3" t="s">
        <v>81</v>
      </c>
      <c r="F286" s="3" t="s">
        <v>88</v>
      </c>
      <c r="G286" s="3">
        <f>Table2[[#This Row],[Income]]-Table2[[#This Row],[Expense]]</f>
        <v>15720</v>
      </c>
      <c r="H286" s="3" t="str">
        <f>TEXT(Table2[[#This Row],[Date]],"MMM")</f>
        <v>Apr</v>
      </c>
      <c r="I286" s="3">
        <f>YEAR(Table2[[#This Row],[Date]])</f>
        <v>2025</v>
      </c>
      <c r="J286" s="3">
        <f t="shared" si="4"/>
        <v>0</v>
      </c>
    </row>
    <row r="287" spans="1:10" x14ac:dyDescent="0.35">
      <c r="A287" s="3" t="s">
        <v>302</v>
      </c>
      <c r="B287" s="3" t="s">
        <v>22</v>
      </c>
      <c r="C287" s="3">
        <v>0</v>
      </c>
      <c r="D287" s="3">
        <v>23398</v>
      </c>
      <c r="E287" s="3" t="s">
        <v>81</v>
      </c>
      <c r="F287" s="3" t="s">
        <v>98</v>
      </c>
      <c r="G287" s="3">
        <f>Table2[[#This Row],[Income]]-Table2[[#This Row],[Expense]]</f>
        <v>-23398</v>
      </c>
      <c r="H287" s="3" t="str">
        <f>TEXT(Table2[[#This Row],[Date]],"MMM")</f>
        <v>Jun</v>
      </c>
      <c r="I287" s="3">
        <f>YEAR(Table2[[#This Row],[Date]])</f>
        <v>2026</v>
      </c>
      <c r="J287" s="3">
        <f t="shared" si="4"/>
        <v>300000</v>
      </c>
    </row>
    <row r="288" spans="1:10" x14ac:dyDescent="0.35">
      <c r="A288" s="3" t="s">
        <v>303</v>
      </c>
      <c r="B288" s="3" t="s">
        <v>22</v>
      </c>
      <c r="C288" s="3">
        <v>0</v>
      </c>
      <c r="D288" s="3">
        <v>6423</v>
      </c>
      <c r="E288" s="3" t="s">
        <v>81</v>
      </c>
      <c r="F288" s="3" t="s">
        <v>98</v>
      </c>
      <c r="G288" s="3">
        <f>Table2[[#This Row],[Income]]-Table2[[#This Row],[Expense]]</f>
        <v>-6423</v>
      </c>
      <c r="H288" s="3" t="str">
        <f>TEXT(Table2[[#This Row],[Date]],"MMM")</f>
        <v>Mar</v>
      </c>
      <c r="I288" s="3">
        <f>YEAR(Table2[[#This Row],[Date]])</f>
        <v>2026</v>
      </c>
      <c r="J288" s="3">
        <f t="shared" si="4"/>
        <v>300000</v>
      </c>
    </row>
    <row r="289" spans="1:10" x14ac:dyDescent="0.35">
      <c r="A289" s="3" t="s">
        <v>304</v>
      </c>
      <c r="B289" s="3" t="s">
        <v>85</v>
      </c>
      <c r="C289" s="3">
        <v>54244</v>
      </c>
      <c r="D289" s="3">
        <v>0</v>
      </c>
      <c r="E289" s="3" t="s">
        <v>12</v>
      </c>
      <c r="F289" s="3" t="s">
        <v>86</v>
      </c>
      <c r="G289" s="3">
        <f>Table2[[#This Row],[Income]]-Table2[[#This Row],[Expense]]</f>
        <v>54244</v>
      </c>
      <c r="H289" s="3" t="str">
        <f>TEXT(Table2[[#This Row],[Date]],"MMM")</f>
        <v>Apr</v>
      </c>
      <c r="I289" s="3">
        <f>YEAR(Table2[[#This Row],[Date]])</f>
        <v>2023</v>
      </c>
      <c r="J289" s="3">
        <f t="shared" si="4"/>
        <v>100000</v>
      </c>
    </row>
    <row r="290" spans="1:10" x14ac:dyDescent="0.35">
      <c r="A290" s="3" t="s">
        <v>305</v>
      </c>
      <c r="B290" s="3" t="s">
        <v>20</v>
      </c>
      <c r="C290" s="3">
        <v>0</v>
      </c>
      <c r="D290" s="3">
        <v>12160</v>
      </c>
      <c r="E290" s="3" t="s">
        <v>89</v>
      </c>
      <c r="F290" s="3" t="s">
        <v>96</v>
      </c>
      <c r="G290" s="3">
        <f>Table2[[#This Row],[Income]]-Table2[[#This Row],[Expense]]</f>
        <v>-12160</v>
      </c>
      <c r="H290" s="3" t="str">
        <f>TEXT(Table2[[#This Row],[Date]],"MMM")</f>
        <v>Jul</v>
      </c>
      <c r="I290" s="3">
        <f>YEAR(Table2[[#This Row],[Date]])</f>
        <v>2023</v>
      </c>
      <c r="J290" s="3">
        <f t="shared" si="4"/>
        <v>400000</v>
      </c>
    </row>
    <row r="291" spans="1:10" x14ac:dyDescent="0.35">
      <c r="A291" s="3" t="s">
        <v>306</v>
      </c>
      <c r="B291" s="3" t="s">
        <v>8</v>
      </c>
      <c r="C291" s="3">
        <v>33642</v>
      </c>
      <c r="D291" s="3">
        <v>0</v>
      </c>
      <c r="E291" s="3" t="s">
        <v>89</v>
      </c>
      <c r="F291" s="3" t="s">
        <v>87</v>
      </c>
      <c r="G291" s="3">
        <f>Table2[[#This Row],[Income]]-Table2[[#This Row],[Expense]]</f>
        <v>33642</v>
      </c>
      <c r="H291" s="3" t="str">
        <f>TEXT(Table2[[#This Row],[Date]],"MMM")</f>
        <v>Mar</v>
      </c>
      <c r="I291" s="3">
        <f>YEAR(Table2[[#This Row],[Date]])</f>
        <v>2026</v>
      </c>
      <c r="J291" s="3">
        <f t="shared" si="4"/>
        <v>0</v>
      </c>
    </row>
    <row r="292" spans="1:10" x14ac:dyDescent="0.35">
      <c r="A292" s="3" t="s">
        <v>307</v>
      </c>
      <c r="B292" s="3" t="s">
        <v>10</v>
      </c>
      <c r="C292" s="3">
        <v>0</v>
      </c>
      <c r="D292" s="3">
        <v>16713</v>
      </c>
      <c r="E292" s="3" t="s">
        <v>81</v>
      </c>
      <c r="F292" s="3" t="s">
        <v>94</v>
      </c>
      <c r="G292" s="3">
        <f>Table2[[#This Row],[Income]]-Table2[[#This Row],[Expense]]</f>
        <v>-16713</v>
      </c>
      <c r="H292" s="3" t="str">
        <f>TEXT(Table2[[#This Row],[Date]],"MMM")</f>
        <v>May</v>
      </c>
      <c r="I292" s="3">
        <f>YEAR(Table2[[#This Row],[Date]])</f>
        <v>2026</v>
      </c>
      <c r="J292" s="3">
        <f t="shared" si="4"/>
        <v>450000</v>
      </c>
    </row>
    <row r="293" spans="1:10" x14ac:dyDescent="0.35">
      <c r="A293" s="3" t="s">
        <v>308</v>
      </c>
      <c r="B293" s="3" t="s">
        <v>7</v>
      </c>
      <c r="C293" s="3">
        <v>31211</v>
      </c>
      <c r="D293" s="3">
        <v>0</v>
      </c>
      <c r="E293" s="3" t="s">
        <v>95</v>
      </c>
      <c r="F293" s="3" t="s">
        <v>97</v>
      </c>
      <c r="G293" s="3">
        <f>Table2[[#This Row],[Income]]-Table2[[#This Row],[Expense]]</f>
        <v>31211</v>
      </c>
      <c r="H293" s="3" t="str">
        <f>TEXT(Table2[[#This Row],[Date]],"MMM")</f>
        <v>Dec</v>
      </c>
      <c r="I293" s="3">
        <f>YEAR(Table2[[#This Row],[Date]])</f>
        <v>2026</v>
      </c>
      <c r="J293" s="3">
        <f t="shared" si="4"/>
        <v>0</v>
      </c>
    </row>
    <row r="294" spans="1:10" x14ac:dyDescent="0.35">
      <c r="A294" s="3" t="s">
        <v>309</v>
      </c>
      <c r="B294" s="3" t="s">
        <v>10</v>
      </c>
      <c r="C294" s="3">
        <v>0</v>
      </c>
      <c r="D294" s="3">
        <v>4362</v>
      </c>
      <c r="E294" s="3" t="s">
        <v>81</v>
      </c>
      <c r="F294" s="3" t="s">
        <v>94</v>
      </c>
      <c r="G294" s="3">
        <f>Table2[[#This Row],[Income]]-Table2[[#This Row],[Expense]]</f>
        <v>-4362</v>
      </c>
      <c r="H294" s="3" t="str">
        <f>TEXT(Table2[[#This Row],[Date]],"MMM")</f>
        <v>Jun</v>
      </c>
      <c r="I294" s="3">
        <f>YEAR(Table2[[#This Row],[Date]])</f>
        <v>2023</v>
      </c>
      <c r="J294" s="3">
        <f t="shared" si="4"/>
        <v>450000</v>
      </c>
    </row>
    <row r="295" spans="1:10" x14ac:dyDescent="0.35">
      <c r="A295" s="3" t="s">
        <v>310</v>
      </c>
      <c r="B295" s="3" t="s">
        <v>85</v>
      </c>
      <c r="C295" s="3">
        <v>70030</v>
      </c>
      <c r="D295" s="3">
        <v>0</v>
      </c>
      <c r="E295" s="3" t="s">
        <v>9</v>
      </c>
      <c r="F295" s="3" t="s">
        <v>86</v>
      </c>
      <c r="G295" s="3">
        <f>Table2[[#This Row],[Income]]-Table2[[#This Row],[Expense]]</f>
        <v>70030</v>
      </c>
      <c r="H295" s="3" t="str">
        <f>TEXT(Table2[[#This Row],[Date]],"MMM")</f>
        <v>Aug</v>
      </c>
      <c r="I295" s="3">
        <f>YEAR(Table2[[#This Row],[Date]])</f>
        <v>2024</v>
      </c>
      <c r="J295" s="3">
        <f t="shared" si="4"/>
        <v>100000</v>
      </c>
    </row>
    <row r="296" spans="1:10" x14ac:dyDescent="0.35">
      <c r="A296" s="3" t="s">
        <v>311</v>
      </c>
      <c r="B296" s="3" t="s">
        <v>7</v>
      </c>
      <c r="C296" s="3">
        <v>33321</v>
      </c>
      <c r="D296" s="3">
        <v>0</v>
      </c>
      <c r="E296" s="3" t="s">
        <v>12</v>
      </c>
      <c r="F296" s="3" t="s">
        <v>97</v>
      </c>
      <c r="G296" s="3">
        <f>Table2[[#This Row],[Income]]-Table2[[#This Row],[Expense]]</f>
        <v>33321</v>
      </c>
      <c r="H296" s="3" t="str">
        <f>TEXT(Table2[[#This Row],[Date]],"MMM")</f>
        <v>Feb</v>
      </c>
      <c r="I296" s="3">
        <f>YEAR(Table2[[#This Row],[Date]])</f>
        <v>2026</v>
      </c>
      <c r="J296" s="3">
        <f t="shared" si="4"/>
        <v>0</v>
      </c>
    </row>
    <row r="297" spans="1:10" x14ac:dyDescent="0.35">
      <c r="A297" s="3" t="s">
        <v>51</v>
      </c>
      <c r="B297" s="3" t="s">
        <v>7</v>
      </c>
      <c r="C297" s="3">
        <v>20644</v>
      </c>
      <c r="D297" s="3">
        <v>0</v>
      </c>
      <c r="E297" s="3" t="s">
        <v>12</v>
      </c>
      <c r="F297" s="3" t="s">
        <v>97</v>
      </c>
      <c r="G297" s="3">
        <f>Table2[[#This Row],[Income]]-Table2[[#This Row],[Expense]]</f>
        <v>20644</v>
      </c>
      <c r="H297" s="3" t="str">
        <f>TEXT(Table2[[#This Row],[Date]],"MMM")</f>
        <v>May</v>
      </c>
      <c r="I297" s="3">
        <f>YEAR(Table2[[#This Row],[Date]])</f>
        <v>2025</v>
      </c>
      <c r="J297" s="3">
        <f t="shared" si="4"/>
        <v>0</v>
      </c>
    </row>
    <row r="298" spans="1:10" x14ac:dyDescent="0.35">
      <c r="A298" s="3" t="s">
        <v>312</v>
      </c>
      <c r="B298" s="3" t="s">
        <v>22</v>
      </c>
      <c r="C298" s="3">
        <v>0</v>
      </c>
      <c r="D298" s="3">
        <v>19782</v>
      </c>
      <c r="E298" s="3" t="s">
        <v>95</v>
      </c>
      <c r="F298" s="3" t="s">
        <v>98</v>
      </c>
      <c r="G298" s="3">
        <f>Table2[[#This Row],[Income]]-Table2[[#This Row],[Expense]]</f>
        <v>-19782</v>
      </c>
      <c r="H298" s="3" t="str">
        <f>TEXT(Table2[[#This Row],[Date]],"MMM")</f>
        <v>Jul</v>
      </c>
      <c r="I298" s="3">
        <f>YEAR(Table2[[#This Row],[Date]])</f>
        <v>2026</v>
      </c>
      <c r="J298" s="3">
        <f t="shared" si="4"/>
        <v>300000</v>
      </c>
    </row>
    <row r="299" spans="1:10" x14ac:dyDescent="0.35">
      <c r="A299" s="3" t="s">
        <v>313</v>
      </c>
      <c r="B299" s="3" t="s">
        <v>8</v>
      </c>
      <c r="C299" s="3">
        <v>47544</v>
      </c>
      <c r="D299" s="3">
        <v>0</v>
      </c>
      <c r="E299" s="3" t="s">
        <v>95</v>
      </c>
      <c r="F299" s="3" t="s">
        <v>87</v>
      </c>
      <c r="G299" s="3">
        <f>Table2[[#This Row],[Income]]-Table2[[#This Row],[Expense]]</f>
        <v>47544</v>
      </c>
      <c r="H299" s="3" t="str">
        <f>TEXT(Table2[[#This Row],[Date]],"MMM")</f>
        <v>Jun</v>
      </c>
      <c r="I299" s="3">
        <f>YEAR(Table2[[#This Row],[Date]])</f>
        <v>2024</v>
      </c>
      <c r="J299" s="3">
        <f t="shared" si="4"/>
        <v>0</v>
      </c>
    </row>
    <row r="300" spans="1:10" x14ac:dyDescent="0.35">
      <c r="A300" s="3" t="s">
        <v>57</v>
      </c>
      <c r="B300" s="3" t="s">
        <v>85</v>
      </c>
      <c r="C300" s="3">
        <v>72703</v>
      </c>
      <c r="D300" s="3">
        <v>0</v>
      </c>
      <c r="E300" s="3" t="s">
        <v>9</v>
      </c>
      <c r="F300" s="3" t="s">
        <v>86</v>
      </c>
      <c r="G300" s="3">
        <f>Table2[[#This Row],[Income]]-Table2[[#This Row],[Expense]]</f>
        <v>72703</v>
      </c>
      <c r="H300" s="3" t="str">
        <f>TEXT(Table2[[#This Row],[Date]],"MMM")</f>
        <v>May</v>
      </c>
      <c r="I300" s="3">
        <f>YEAR(Table2[[#This Row],[Date]])</f>
        <v>2025</v>
      </c>
      <c r="J300" s="3">
        <f t="shared" si="4"/>
        <v>100000</v>
      </c>
    </row>
    <row r="301" spans="1:10" x14ac:dyDescent="0.35">
      <c r="A301" s="3" t="s">
        <v>314</v>
      </c>
      <c r="B301" s="3" t="s">
        <v>10</v>
      </c>
      <c r="C301" s="3">
        <v>0</v>
      </c>
      <c r="D301" s="3">
        <v>2471</v>
      </c>
      <c r="E301" s="3" t="s">
        <v>89</v>
      </c>
      <c r="F301" s="3" t="s">
        <v>94</v>
      </c>
      <c r="G301" s="3">
        <f>Table2[[#This Row],[Income]]-Table2[[#This Row],[Expense]]</f>
        <v>-2471</v>
      </c>
      <c r="H301" s="3" t="str">
        <f>TEXT(Table2[[#This Row],[Date]],"MMM")</f>
        <v>Sep</v>
      </c>
      <c r="I301" s="3">
        <f>YEAR(Table2[[#This Row],[Date]])</f>
        <v>2023</v>
      </c>
      <c r="J301" s="3">
        <f t="shared" si="4"/>
        <v>450000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6C2E-C32D-4D31-8AE5-481DF6A161EC}">
  <dimension ref="A1:D13"/>
  <sheetViews>
    <sheetView workbookViewId="0">
      <selection activeCell="H9" sqref="H9"/>
    </sheetView>
  </sheetViews>
  <sheetFormatPr defaultRowHeight="14.5" x14ac:dyDescent="0.35"/>
  <cols>
    <col min="1" max="1" width="12.90625" bestFit="1" customWidth="1"/>
  </cols>
  <sheetData>
    <row r="1" spans="1:4" x14ac:dyDescent="0.35">
      <c r="A1" s="3" t="s">
        <v>1</v>
      </c>
      <c r="B1" t="s">
        <v>18</v>
      </c>
      <c r="C1" t="s">
        <v>332</v>
      </c>
      <c r="D1" t="s">
        <v>333</v>
      </c>
    </row>
    <row r="2" spans="1:4" x14ac:dyDescent="0.35">
      <c r="A2" s="3" t="s">
        <v>8</v>
      </c>
      <c r="B2">
        <v>0</v>
      </c>
      <c r="C2">
        <f>SUMIFS(Financial_Data!D:D,Financial_Data!B:B,Table3[[#This Row],[Category]])</f>
        <v>0</v>
      </c>
      <c r="D2">
        <f>Table3[[#This Row],[Budget]]-Table3[[#This Row],[Actual]]</f>
        <v>0</v>
      </c>
    </row>
    <row r="3" spans="1:4" x14ac:dyDescent="0.35">
      <c r="A3" s="3" t="s">
        <v>10</v>
      </c>
      <c r="B3">
        <v>450000</v>
      </c>
      <c r="C3">
        <f>SUMIFS(Financial_Data!D:D,Financial_Data!B:B,Table3[[#This Row],[Category]])</f>
        <v>406346</v>
      </c>
      <c r="D3">
        <f>Table3[[#This Row],[Budget]]-Table3[[#This Row],[Actual]]</f>
        <v>43654</v>
      </c>
    </row>
    <row r="4" spans="1:4" x14ac:dyDescent="0.35">
      <c r="A4" s="3" t="s">
        <v>13</v>
      </c>
      <c r="B4">
        <v>0</v>
      </c>
      <c r="C4">
        <f>SUMIFS(Financial_Data!D:D,Financial_Data!B:B,Table3[[#This Row],[Category]])</f>
        <v>0</v>
      </c>
      <c r="D4">
        <f>Table3[[#This Row],[Budget]]-Table3[[#This Row],[Actual]]</f>
        <v>0</v>
      </c>
    </row>
    <row r="5" spans="1:4" x14ac:dyDescent="0.35">
      <c r="A5" s="3" t="s">
        <v>20</v>
      </c>
      <c r="B5">
        <v>400000</v>
      </c>
      <c r="C5">
        <f>SUMIFS(Financial_Data!D:D,Financial_Data!B:B,Table3[[#This Row],[Category]])</f>
        <v>331840</v>
      </c>
      <c r="D5">
        <f>Table3[[#This Row],[Budget]]-Table3[[#This Row],[Actual]]</f>
        <v>68160</v>
      </c>
    </row>
    <row r="6" spans="1:4" x14ac:dyDescent="0.35">
      <c r="A6" s="3" t="s">
        <v>14</v>
      </c>
      <c r="B6">
        <v>250000</v>
      </c>
      <c r="C6">
        <f>SUMIFS(Financial_Data!D:D,Financial_Data!B:B,Table3[[#This Row],[Category]])</f>
        <v>292630</v>
      </c>
      <c r="D6">
        <f>Table3[[#This Row],[Budget]]-Table3[[#This Row],[Actual]]</f>
        <v>-42630</v>
      </c>
    </row>
    <row r="7" spans="1:4" x14ac:dyDescent="0.35">
      <c r="A7" s="3" t="s">
        <v>91</v>
      </c>
      <c r="B7">
        <v>460000</v>
      </c>
      <c r="C7">
        <f>SUMIFS(Financial_Data!D:D,Financial_Data!B:B,Table3[[#This Row],[Category]])</f>
        <v>428630</v>
      </c>
      <c r="D7">
        <f>Table3[[#This Row],[Budget]]-Table3[[#This Row],[Actual]]</f>
        <v>31370</v>
      </c>
    </row>
    <row r="8" spans="1:4" x14ac:dyDescent="0.35">
      <c r="A8" s="3" t="s">
        <v>22</v>
      </c>
      <c r="B8">
        <v>300000</v>
      </c>
      <c r="C8">
        <f>SUMIFS(Financial_Data!D:D,Financial_Data!B:B,Table3[[#This Row],[Category]])</f>
        <v>312746</v>
      </c>
      <c r="D8">
        <f>Table3[[#This Row],[Budget]]-Table3[[#This Row],[Actual]]</f>
        <v>-12746</v>
      </c>
    </row>
    <row r="9" spans="1:4" x14ac:dyDescent="0.35">
      <c r="A9" s="3" t="s">
        <v>7</v>
      </c>
      <c r="B9">
        <v>0</v>
      </c>
      <c r="C9">
        <f>SUMIFS(Financial_Data!D:D,Financial_Data!B:B,Table3[[#This Row],[Category]])</f>
        <v>0</v>
      </c>
      <c r="D9">
        <f>Table3[[#This Row],[Budget]]-Table3[[#This Row],[Actual]]</f>
        <v>0</v>
      </c>
    </row>
    <row r="10" spans="1:4" x14ac:dyDescent="0.35">
      <c r="A10" s="3" t="s">
        <v>80</v>
      </c>
      <c r="B10">
        <v>270000</v>
      </c>
      <c r="C10">
        <f>SUMIFS(Financial_Data!D:D,Financial_Data!B:B,Table3[[#This Row],[Category]])</f>
        <v>211569</v>
      </c>
      <c r="D10">
        <f>Table3[[#This Row],[Budget]]-Table3[[#This Row],[Actual]]</f>
        <v>58431</v>
      </c>
    </row>
    <row r="11" spans="1:4" x14ac:dyDescent="0.35">
      <c r="A11" s="3" t="s">
        <v>83</v>
      </c>
      <c r="B11">
        <v>300000</v>
      </c>
      <c r="C11">
        <f>SUMIFS(Financial_Data!D:D,Financial_Data!B:B,Table3[[#This Row],[Category]])</f>
        <v>347627</v>
      </c>
      <c r="D11">
        <f>Table3[[#This Row],[Budget]]-Table3[[#This Row],[Actual]]</f>
        <v>-47627</v>
      </c>
    </row>
    <row r="12" spans="1:4" x14ac:dyDescent="0.35">
      <c r="A12" s="3" t="s">
        <v>11</v>
      </c>
      <c r="B12">
        <v>240000</v>
      </c>
      <c r="C12">
        <f>SUMIFS(Financial_Data!D:D,Financial_Data!B:B,Table3[[#This Row],[Category]])</f>
        <v>284502</v>
      </c>
      <c r="D12">
        <f>Table3[[#This Row],[Budget]]-Table3[[#This Row],[Actual]]</f>
        <v>-44502</v>
      </c>
    </row>
    <row r="13" spans="1:4" x14ac:dyDescent="0.35">
      <c r="A13" s="3" t="s">
        <v>85</v>
      </c>
      <c r="B13">
        <v>100000</v>
      </c>
      <c r="C13">
        <f>SUMIFS(Financial_Data!D:D,Financial_Data!B:B,Table3[[#This Row],[Category]])</f>
        <v>0</v>
      </c>
      <c r="D13">
        <f>Table3[[#This Row],[Budget]]-Table3[[#This Row],[Actual]]</f>
        <v>100000</v>
      </c>
    </row>
  </sheetData>
  <conditionalFormatting sqref="D1:D13">
    <cfRule type="cellIs" dxfId="30" priority="1" operator="equal">
      <formula>0</formula>
    </cfRule>
    <cfRule type="cellIs" dxfId="29" priority="2" operator="equal">
      <formula>0</formula>
    </cfRule>
    <cfRule type="cellIs" dxfId="28" priority="3" operator="greaterThan">
      <formula>0</formula>
    </cfRule>
  </conditionalFormatting>
  <conditionalFormatting sqref="D1:D1048576">
    <cfRule type="cellIs" dxfId="27" priority="4" operator="lessThan">
      <formula>0</formula>
    </cfRule>
    <cfRule type="iconSet" priority="5">
      <iconSet iconSet="3Arrows">
        <cfvo type="percent" val="0"/>
        <cfvo type="percent" val="33"/>
        <cfvo type="percent" val="67"/>
      </iconSet>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A13-8B77-4084-B347-9C7BC67090AF}">
  <dimension ref="A1:R14"/>
  <sheetViews>
    <sheetView workbookViewId="0">
      <selection activeCell="P6" sqref="P6"/>
    </sheetView>
  </sheetViews>
  <sheetFormatPr defaultRowHeight="14.5" x14ac:dyDescent="0.35"/>
  <cols>
    <col min="1" max="1" width="12.36328125" bestFit="1" customWidth="1"/>
    <col min="2" max="2" width="13.36328125" bestFit="1" customWidth="1"/>
    <col min="3" max="3" width="14.08984375" bestFit="1" customWidth="1"/>
    <col min="7" max="7" width="12.90625" bestFit="1" customWidth="1"/>
    <col min="8" max="8" width="14.08984375" bestFit="1" customWidth="1"/>
    <col min="11" max="11" width="12.36328125" bestFit="1" customWidth="1"/>
    <col min="12" max="12" width="8.54296875" bestFit="1" customWidth="1"/>
    <col min="16" max="16" width="12.90625" bestFit="1" customWidth="1"/>
    <col min="17" max="17" width="13.08984375" bestFit="1" customWidth="1"/>
    <col min="18" max="18" width="12.36328125" bestFit="1" customWidth="1"/>
  </cols>
  <sheetData>
    <row r="1" spans="1:18" x14ac:dyDescent="0.35">
      <c r="A1" s="1" t="s">
        <v>15</v>
      </c>
      <c r="B1" t="s">
        <v>327</v>
      </c>
      <c r="C1" t="s">
        <v>17</v>
      </c>
      <c r="G1" s="1" t="s">
        <v>15</v>
      </c>
      <c r="H1" t="s">
        <v>17</v>
      </c>
      <c r="K1" s="1" t="s">
        <v>15</v>
      </c>
      <c r="L1" t="s">
        <v>335</v>
      </c>
      <c r="P1" s="1" t="s">
        <v>15</v>
      </c>
      <c r="Q1" t="s">
        <v>21</v>
      </c>
      <c r="R1" t="s">
        <v>334</v>
      </c>
    </row>
    <row r="2" spans="1:18" x14ac:dyDescent="0.35">
      <c r="A2" s="2" t="s">
        <v>315</v>
      </c>
      <c r="B2">
        <v>246177</v>
      </c>
      <c r="C2">
        <v>211068</v>
      </c>
      <c r="G2" s="2" t="s">
        <v>7</v>
      </c>
      <c r="H2">
        <v>0</v>
      </c>
      <c r="K2" s="2" t="s">
        <v>315</v>
      </c>
      <c r="L2">
        <v>211068</v>
      </c>
      <c r="P2" s="2" t="s">
        <v>7</v>
      </c>
      <c r="Q2">
        <v>0</v>
      </c>
      <c r="R2">
        <v>0</v>
      </c>
    </row>
    <row r="3" spans="1:18" x14ac:dyDescent="0.35">
      <c r="A3" s="2" t="s">
        <v>316</v>
      </c>
      <c r="B3">
        <v>369124</v>
      </c>
      <c r="C3">
        <v>192512</v>
      </c>
      <c r="G3" s="2" t="s">
        <v>80</v>
      </c>
      <c r="H3">
        <v>211569</v>
      </c>
      <c r="K3" s="2" t="s">
        <v>316</v>
      </c>
      <c r="L3">
        <v>192512</v>
      </c>
      <c r="P3" s="2" t="s">
        <v>80</v>
      </c>
      <c r="Q3">
        <v>270000</v>
      </c>
      <c r="R3">
        <v>211569</v>
      </c>
    </row>
    <row r="4" spans="1:18" x14ac:dyDescent="0.35">
      <c r="A4" s="2" t="s">
        <v>317</v>
      </c>
      <c r="B4">
        <v>469633</v>
      </c>
      <c r="C4">
        <v>278417</v>
      </c>
      <c r="G4" s="2" t="s">
        <v>14</v>
      </c>
      <c r="H4">
        <v>292630</v>
      </c>
      <c r="K4" s="2" t="s">
        <v>317</v>
      </c>
      <c r="L4">
        <v>278417</v>
      </c>
      <c r="P4" s="2" t="s">
        <v>14</v>
      </c>
      <c r="Q4">
        <v>250000</v>
      </c>
      <c r="R4">
        <v>292630</v>
      </c>
    </row>
    <row r="5" spans="1:18" x14ac:dyDescent="0.35">
      <c r="A5" s="2" t="s">
        <v>318</v>
      </c>
      <c r="B5">
        <v>581959</v>
      </c>
      <c r="C5">
        <v>195910</v>
      </c>
      <c r="G5" s="2" t="s">
        <v>13</v>
      </c>
      <c r="H5">
        <v>0</v>
      </c>
      <c r="K5" s="2" t="s">
        <v>318</v>
      </c>
      <c r="L5">
        <v>195910</v>
      </c>
      <c r="P5" s="2" t="s">
        <v>13</v>
      </c>
      <c r="Q5">
        <v>0</v>
      </c>
      <c r="R5">
        <v>0</v>
      </c>
    </row>
    <row r="6" spans="1:18" x14ac:dyDescent="0.35">
      <c r="A6" s="2" t="s">
        <v>319</v>
      </c>
      <c r="B6">
        <v>427274</v>
      </c>
      <c r="C6">
        <v>186963</v>
      </c>
      <c r="G6" s="2" t="s">
        <v>91</v>
      </c>
      <c r="H6">
        <v>428630</v>
      </c>
      <c r="K6" s="2" t="s">
        <v>319</v>
      </c>
      <c r="L6">
        <v>186963</v>
      </c>
      <c r="P6" s="2" t="s">
        <v>91</v>
      </c>
      <c r="Q6">
        <v>460000</v>
      </c>
      <c r="R6">
        <v>428630</v>
      </c>
    </row>
    <row r="7" spans="1:18" x14ac:dyDescent="0.35">
      <c r="A7" s="2" t="s">
        <v>320</v>
      </c>
      <c r="B7">
        <v>234641</v>
      </c>
      <c r="C7">
        <v>175446</v>
      </c>
      <c r="G7" s="2" t="s">
        <v>85</v>
      </c>
      <c r="H7">
        <v>0</v>
      </c>
      <c r="K7" s="2" t="s">
        <v>320</v>
      </c>
      <c r="L7">
        <v>175446</v>
      </c>
      <c r="P7" s="2" t="s">
        <v>85</v>
      </c>
      <c r="Q7">
        <v>100000</v>
      </c>
      <c r="R7">
        <v>0</v>
      </c>
    </row>
    <row r="8" spans="1:18" x14ac:dyDescent="0.35">
      <c r="A8" s="2" t="s">
        <v>321</v>
      </c>
      <c r="B8">
        <v>284971</v>
      </c>
      <c r="C8">
        <v>232968</v>
      </c>
      <c r="G8" s="2" t="s">
        <v>83</v>
      </c>
      <c r="H8">
        <v>347627</v>
      </c>
      <c r="K8" s="2" t="s">
        <v>321</v>
      </c>
      <c r="L8">
        <v>232968</v>
      </c>
      <c r="P8" s="2" t="s">
        <v>83</v>
      </c>
      <c r="Q8">
        <v>300000</v>
      </c>
      <c r="R8">
        <v>347627</v>
      </c>
    </row>
    <row r="9" spans="1:18" x14ac:dyDescent="0.35">
      <c r="A9" s="2" t="s">
        <v>322</v>
      </c>
      <c r="B9">
        <v>401220</v>
      </c>
      <c r="C9">
        <v>268545</v>
      </c>
      <c r="G9" s="2" t="s">
        <v>11</v>
      </c>
      <c r="H9">
        <v>284502</v>
      </c>
      <c r="K9" s="2" t="s">
        <v>322</v>
      </c>
      <c r="L9">
        <v>268545</v>
      </c>
      <c r="P9" s="2" t="s">
        <v>11</v>
      </c>
      <c r="Q9">
        <v>240000</v>
      </c>
      <c r="R9">
        <v>284502</v>
      </c>
    </row>
    <row r="10" spans="1:18" x14ac:dyDescent="0.35">
      <c r="A10" s="2" t="s">
        <v>323</v>
      </c>
      <c r="B10">
        <v>202458</v>
      </c>
      <c r="C10">
        <v>277801</v>
      </c>
      <c r="G10" s="2" t="s">
        <v>8</v>
      </c>
      <c r="H10">
        <v>0</v>
      </c>
      <c r="K10" s="2" t="s">
        <v>323</v>
      </c>
      <c r="L10">
        <v>277801</v>
      </c>
      <c r="P10" s="2" t="s">
        <v>8</v>
      </c>
      <c r="Q10">
        <v>0</v>
      </c>
      <c r="R10">
        <v>0</v>
      </c>
    </row>
    <row r="11" spans="1:18" x14ac:dyDescent="0.35">
      <c r="A11" s="2" t="s">
        <v>324</v>
      </c>
      <c r="B11">
        <v>291477</v>
      </c>
      <c r="C11">
        <v>251610</v>
      </c>
      <c r="G11" s="2" t="s">
        <v>20</v>
      </c>
      <c r="H11">
        <v>331840</v>
      </c>
      <c r="K11" s="2" t="s">
        <v>324</v>
      </c>
      <c r="L11">
        <v>251610</v>
      </c>
      <c r="P11" s="2" t="s">
        <v>20</v>
      </c>
      <c r="Q11">
        <v>400000</v>
      </c>
      <c r="R11">
        <v>331840</v>
      </c>
    </row>
    <row r="12" spans="1:18" x14ac:dyDescent="0.35">
      <c r="A12" s="2" t="s">
        <v>325</v>
      </c>
      <c r="B12">
        <v>407528</v>
      </c>
      <c r="C12">
        <v>167146</v>
      </c>
      <c r="G12" s="2" t="s">
        <v>22</v>
      </c>
      <c r="H12">
        <v>312746</v>
      </c>
      <c r="K12" s="2" t="s">
        <v>325</v>
      </c>
      <c r="L12">
        <v>167146</v>
      </c>
      <c r="P12" s="2" t="s">
        <v>22</v>
      </c>
      <c r="Q12">
        <v>300000</v>
      </c>
      <c r="R12">
        <v>312746</v>
      </c>
    </row>
    <row r="13" spans="1:18" x14ac:dyDescent="0.35">
      <c r="A13" s="2" t="s">
        <v>326</v>
      </c>
      <c r="B13">
        <v>257079</v>
      </c>
      <c r="C13">
        <v>177504</v>
      </c>
      <c r="G13" s="2" t="s">
        <v>10</v>
      </c>
      <c r="H13">
        <v>406346</v>
      </c>
      <c r="K13" s="2" t="s">
        <v>326</v>
      </c>
      <c r="L13">
        <v>177504</v>
      </c>
      <c r="P13" s="2" t="s">
        <v>10</v>
      </c>
      <c r="Q13">
        <v>450000</v>
      </c>
      <c r="R13">
        <v>406346</v>
      </c>
    </row>
    <row r="14" spans="1:18" x14ac:dyDescent="0.35">
      <c r="A14" s="2" t="s">
        <v>16</v>
      </c>
      <c r="B14">
        <v>4173541</v>
      </c>
      <c r="C14">
        <v>2615890</v>
      </c>
      <c r="G14" s="2" t="s">
        <v>16</v>
      </c>
      <c r="H14">
        <v>2615890</v>
      </c>
      <c r="P14" s="2" t="s">
        <v>16</v>
      </c>
      <c r="Q14">
        <v>2770000</v>
      </c>
      <c r="R14">
        <v>2615890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72670-DBBD-4821-AD62-7EF27B442282}">
  <dimension ref="A1:S205"/>
  <sheetViews>
    <sheetView tabSelected="1" topLeftCell="A18" zoomScale="92" zoomScaleNormal="92" workbookViewId="0">
      <selection activeCell="P23" sqref="P23"/>
    </sheetView>
  </sheetViews>
  <sheetFormatPr defaultRowHeight="14.5" x14ac:dyDescent="0.35"/>
  <cols>
    <col min="2" max="2" width="9.90625" bestFit="1" customWidth="1"/>
    <col min="4" max="4" width="10.08984375" customWidth="1"/>
    <col min="6" max="6" width="9.90625" bestFit="1" customWidth="1"/>
    <col min="8" max="8" width="10" customWidth="1"/>
    <col min="10" max="10" width="9.90625" bestFit="1" customWidth="1"/>
    <col min="11" max="11" width="8.7265625" customWidth="1"/>
    <col min="12" max="12" width="10.1796875" customWidth="1"/>
    <col min="16" max="16" width="8.81640625" customWidth="1"/>
    <col min="17" max="17" width="14.81640625" customWidth="1"/>
    <col min="18" max="18" width="14.453125" bestFit="1" customWidth="1"/>
    <col min="19" max="19" width="9.6328125" customWidth="1"/>
  </cols>
  <sheetData>
    <row r="1" spans="1:19" ht="18.5" x14ac:dyDescent="0.35">
      <c r="A1" s="6" t="s">
        <v>336</v>
      </c>
      <c r="B1" s="6"/>
      <c r="C1" s="6"/>
      <c r="D1" s="6"/>
      <c r="E1" s="6"/>
      <c r="F1" s="6"/>
      <c r="G1" s="6"/>
      <c r="H1" s="6"/>
      <c r="I1" s="6"/>
      <c r="J1" s="6"/>
      <c r="K1" s="6"/>
      <c r="L1" s="6"/>
      <c r="M1" s="6"/>
      <c r="N1" s="6"/>
      <c r="O1" s="6"/>
      <c r="P1" s="6"/>
    </row>
    <row r="6" spans="1:19" ht="18.5" x14ac:dyDescent="0.45">
      <c r="B6" s="4">
        <f>S7</f>
        <v>4173541</v>
      </c>
      <c r="F6" s="4">
        <f>S8</f>
        <v>2615890</v>
      </c>
      <c r="J6" s="4">
        <f>S9</f>
        <v>1557651</v>
      </c>
      <c r="N6" s="4">
        <f>S10</f>
        <v>388915</v>
      </c>
    </row>
    <row r="7" spans="1:19" x14ac:dyDescent="0.35">
      <c r="R7" s="5" t="s">
        <v>328</v>
      </c>
      <c r="S7" s="5">
        <f>SUM(Financial_Data!C:C)</f>
        <v>4173541</v>
      </c>
    </row>
    <row r="8" spans="1:19" x14ac:dyDescent="0.35">
      <c r="R8" s="5" t="s">
        <v>329</v>
      </c>
      <c r="S8" s="5">
        <f>SUM(Financial_Data!D:D)</f>
        <v>2615890</v>
      </c>
    </row>
    <row r="9" spans="1:19" x14ac:dyDescent="0.35">
      <c r="R9" s="5" t="s">
        <v>330</v>
      </c>
      <c r="S9" s="5">
        <f>S7-S8</f>
        <v>1557651</v>
      </c>
    </row>
    <row r="10" spans="1:19" x14ac:dyDescent="0.35">
      <c r="R10" s="5" t="s">
        <v>331</v>
      </c>
      <c r="S10" s="5">
        <f>Financial_Data!J:J -Financial_Data!D:D</f>
        <v>388915</v>
      </c>
    </row>
    <row r="22" spans="13:16" x14ac:dyDescent="0.35">
      <c r="M22" t="s">
        <v>1</v>
      </c>
      <c r="N22" t="s">
        <v>18</v>
      </c>
      <c r="O22" t="s">
        <v>332</v>
      </c>
      <c r="P22" t="s">
        <v>333</v>
      </c>
    </row>
    <row r="23" spans="13:16" x14ac:dyDescent="0.35">
      <c r="M23" t="s">
        <v>8</v>
      </c>
      <c r="N23">
        <v>0</v>
      </c>
      <c r="O23">
        <f>SUMIFS(Financial_Data!D:D,Financial_Data!B:B,Table36[[#This Row],[Category]])</f>
        <v>0</v>
      </c>
      <c r="P23">
        <f>Table36[[#This Row],[Budget]]-Table36[[#This Row],[Actual]]</f>
        <v>0</v>
      </c>
    </row>
    <row r="24" spans="13:16" x14ac:dyDescent="0.35">
      <c r="M24" t="s">
        <v>10</v>
      </c>
      <c r="N24">
        <v>450000</v>
      </c>
      <c r="O24">
        <f>SUMIFS(Financial_Data!D:D,Financial_Data!B:B,Table36[[#This Row],[Category]])</f>
        <v>406346</v>
      </c>
      <c r="P24">
        <f>Table36[[#This Row],[Budget]]-Table36[[#This Row],[Actual]]</f>
        <v>43654</v>
      </c>
    </row>
    <row r="25" spans="13:16" x14ac:dyDescent="0.35">
      <c r="M25" t="s">
        <v>13</v>
      </c>
      <c r="N25">
        <v>0</v>
      </c>
      <c r="O25">
        <f>SUMIFS(Financial_Data!D:D,Financial_Data!B:B,Table36[[#This Row],[Category]])</f>
        <v>0</v>
      </c>
      <c r="P25">
        <f>Table36[[#This Row],[Budget]]-Table36[[#This Row],[Actual]]</f>
        <v>0</v>
      </c>
    </row>
    <row r="26" spans="13:16" x14ac:dyDescent="0.35">
      <c r="M26" t="s">
        <v>20</v>
      </c>
      <c r="N26">
        <v>400000</v>
      </c>
      <c r="O26">
        <f>SUMIFS(Financial_Data!D:D,Financial_Data!B:B,Table36[[#This Row],[Category]])</f>
        <v>331840</v>
      </c>
      <c r="P26">
        <f>Table36[[#This Row],[Budget]]-Table36[[#This Row],[Actual]]</f>
        <v>68160</v>
      </c>
    </row>
    <row r="27" spans="13:16" x14ac:dyDescent="0.35">
      <c r="M27" t="s">
        <v>14</v>
      </c>
      <c r="N27">
        <v>250000</v>
      </c>
      <c r="O27">
        <f>SUMIFS(Financial_Data!D:D,Financial_Data!B:B,Table36[[#This Row],[Category]])</f>
        <v>292630</v>
      </c>
      <c r="P27">
        <f>Table36[[#This Row],[Budget]]-Table36[[#This Row],[Actual]]</f>
        <v>-42630</v>
      </c>
    </row>
    <row r="28" spans="13:16" x14ac:dyDescent="0.35">
      <c r="M28" t="s">
        <v>91</v>
      </c>
      <c r="N28">
        <v>460000</v>
      </c>
      <c r="O28">
        <f>SUMIFS(Financial_Data!D:D,Financial_Data!B:B,Table36[[#This Row],[Category]])</f>
        <v>428630</v>
      </c>
      <c r="P28">
        <f>Table36[[#This Row],[Budget]]-Table36[[#This Row],[Actual]]</f>
        <v>31370</v>
      </c>
    </row>
    <row r="29" spans="13:16" x14ac:dyDescent="0.35">
      <c r="M29" t="s">
        <v>22</v>
      </c>
      <c r="N29">
        <v>300000</v>
      </c>
      <c r="O29">
        <f>SUMIFS(Financial_Data!D:D,Financial_Data!B:B,Table36[[#This Row],[Category]])</f>
        <v>312746</v>
      </c>
      <c r="P29">
        <f>Table36[[#This Row],[Budget]]-Table36[[#This Row],[Actual]]</f>
        <v>-12746</v>
      </c>
    </row>
    <row r="30" spans="13:16" x14ac:dyDescent="0.35">
      <c r="M30" t="s">
        <v>7</v>
      </c>
      <c r="N30">
        <v>0</v>
      </c>
      <c r="O30">
        <f>SUMIFS(Financial_Data!D:D,Financial_Data!B:B,Table36[[#This Row],[Category]])</f>
        <v>0</v>
      </c>
      <c r="P30">
        <f>Table36[[#This Row],[Budget]]-Table36[[#This Row],[Actual]]</f>
        <v>0</v>
      </c>
    </row>
    <row r="31" spans="13:16" x14ac:dyDescent="0.35">
      <c r="M31" t="s">
        <v>80</v>
      </c>
      <c r="N31">
        <v>270000</v>
      </c>
      <c r="O31">
        <f>SUMIFS(Financial_Data!D:D,Financial_Data!B:B,Table36[[#This Row],[Category]])</f>
        <v>211569</v>
      </c>
      <c r="P31">
        <f>Table36[[#This Row],[Budget]]-Table36[[#This Row],[Actual]]</f>
        <v>58431</v>
      </c>
    </row>
    <row r="32" spans="13:16" x14ac:dyDescent="0.35">
      <c r="M32" t="s">
        <v>83</v>
      </c>
      <c r="N32">
        <v>300000</v>
      </c>
      <c r="O32">
        <f>SUMIFS(Financial_Data!D:D,Financial_Data!B:B,Table36[[#This Row],[Category]])</f>
        <v>347627</v>
      </c>
      <c r="P32">
        <f>Table36[[#This Row],[Budget]]-Table36[[#This Row],[Actual]]</f>
        <v>-47627</v>
      </c>
    </row>
    <row r="33" spans="13:16" x14ac:dyDescent="0.35">
      <c r="M33" t="s">
        <v>11</v>
      </c>
      <c r="N33">
        <v>240000</v>
      </c>
      <c r="O33">
        <f>SUMIFS(Financial_Data!D:D,Financial_Data!B:B,Table36[[#This Row],[Category]])</f>
        <v>284502</v>
      </c>
      <c r="P33">
        <f>Table36[[#This Row],[Budget]]-Table36[[#This Row],[Actual]]</f>
        <v>-44502</v>
      </c>
    </row>
    <row r="34" spans="13:16" x14ac:dyDescent="0.35">
      <c r="M34" t="s">
        <v>85</v>
      </c>
      <c r="N34">
        <v>100000</v>
      </c>
      <c r="O34">
        <f>SUMIFS(Financial_Data!D:D,Financial_Data!B:B,Table36[[#This Row],[Category]])</f>
        <v>0</v>
      </c>
      <c r="P34">
        <f>Table36[[#This Row],[Budget]]-Table36[[#This Row],[Actual]]</f>
        <v>100000</v>
      </c>
    </row>
    <row r="35" spans="13:16" ht="19.5" customHeight="1" x14ac:dyDescent="0.35"/>
    <row r="193" spans="1:4" x14ac:dyDescent="0.35">
      <c r="A193" s="3"/>
      <c r="B193" s="3"/>
      <c r="C193" s="3"/>
      <c r="D193" s="3"/>
    </row>
    <row r="194" spans="1:4" x14ac:dyDescent="0.35">
      <c r="A194" s="3"/>
      <c r="B194" s="3"/>
      <c r="C194" s="3"/>
      <c r="D194" s="3"/>
    </row>
    <row r="195" spans="1:4" x14ac:dyDescent="0.35">
      <c r="A195" s="3"/>
      <c r="B195" s="3"/>
      <c r="C195" s="3"/>
      <c r="D195" s="3"/>
    </row>
    <row r="196" spans="1:4" x14ac:dyDescent="0.35">
      <c r="A196" s="3"/>
      <c r="B196" s="3"/>
      <c r="C196" s="3"/>
      <c r="D196" s="3"/>
    </row>
    <row r="197" spans="1:4" x14ac:dyDescent="0.35">
      <c r="A197" s="3"/>
      <c r="B197" s="3"/>
      <c r="C197" s="3"/>
      <c r="D197" s="3"/>
    </row>
    <row r="198" spans="1:4" x14ac:dyDescent="0.35">
      <c r="A198" s="3"/>
      <c r="B198" s="3"/>
      <c r="C198" s="3"/>
      <c r="D198" s="3"/>
    </row>
    <row r="199" spans="1:4" x14ac:dyDescent="0.35">
      <c r="A199" s="3"/>
      <c r="B199" s="3"/>
      <c r="C199" s="3"/>
      <c r="D199" s="3"/>
    </row>
    <row r="200" spans="1:4" x14ac:dyDescent="0.35">
      <c r="A200" s="3"/>
      <c r="B200" s="3"/>
      <c r="C200" s="3"/>
      <c r="D200" s="3"/>
    </row>
    <row r="201" spans="1:4" x14ac:dyDescent="0.35">
      <c r="A201" s="3"/>
      <c r="B201" s="3"/>
      <c r="C201" s="3"/>
      <c r="D201" s="3"/>
    </row>
    <row r="202" spans="1:4" x14ac:dyDescent="0.35">
      <c r="A202" s="3"/>
      <c r="B202" s="3"/>
      <c r="C202" s="3"/>
      <c r="D202" s="3"/>
    </row>
    <row r="203" spans="1:4" x14ac:dyDescent="0.35">
      <c r="A203" s="3"/>
      <c r="B203" s="3"/>
      <c r="C203" s="3"/>
      <c r="D203" s="3"/>
    </row>
    <row r="204" spans="1:4" x14ac:dyDescent="0.35">
      <c r="A204" s="3"/>
      <c r="B204" s="3"/>
      <c r="C204" s="3"/>
      <c r="D204" s="3"/>
    </row>
    <row r="205" spans="1:4" x14ac:dyDescent="0.35">
      <c r="A205" s="3"/>
      <c r="B205" s="3"/>
      <c r="C205" s="3"/>
      <c r="D205" s="3"/>
    </row>
  </sheetData>
  <mergeCells count="1">
    <mergeCell ref="A1:P1"/>
  </mergeCells>
  <conditionalFormatting sqref="D194:D205">
    <cfRule type="dataBar" priority="10">
      <dataBar>
        <cfvo type="min"/>
        <cfvo type="max"/>
        <color rgb="FFFF555A"/>
      </dataBar>
      <extLst>
        <ext xmlns:x14="http://schemas.microsoft.com/office/spreadsheetml/2009/9/main" uri="{B025F937-C7B1-47D3-B67F-A62EFF666E3E}">
          <x14:id>{099AD8AF-759D-40A4-8A4C-960CA7576ADF}</x14:id>
        </ext>
      </extLst>
    </cfRule>
    <cfRule type="cellIs" dxfId="26" priority="11" operator="equal">
      <formula>0</formula>
    </cfRule>
    <cfRule type="cellIs" priority="12" operator="equal">
      <formula>0</formula>
    </cfRule>
    <cfRule type="cellIs" dxfId="25" priority="13" operator="greaterThan">
      <formula>0</formula>
    </cfRule>
    <cfRule type="cellIs" dxfId="24" priority="14" operator="lessThan">
      <formula>0</formula>
    </cfRule>
  </conditionalFormatting>
  <conditionalFormatting sqref="P22:P34">
    <cfRule type="cellIs" dxfId="23" priority="1" operator="equal">
      <formula>0</formula>
    </cfRule>
    <cfRule type="cellIs" dxfId="22" priority="2" operator="equal">
      <formula>0</formula>
    </cfRule>
    <cfRule type="cellIs" dxfId="21" priority="3" operator="greaterThan">
      <formula>0</formula>
    </cfRule>
    <cfRule type="cellIs" dxfId="20" priority="4" operator="lessThan">
      <formula>0</formula>
    </cfRule>
    <cfRule type="iconSet" priority="5">
      <iconSet iconSet="3Arrows">
        <cfvo type="percent" val="0"/>
        <cfvo type="percent" val="33"/>
        <cfvo type="percent" val="67"/>
      </iconSet>
    </cfRule>
  </conditionalFormatting>
  <conditionalFormatting sqref="R11">
    <cfRule type="containsText" dxfId="19" priority="6" operator="containsText" text="On">
      <formula>NOT(ISERROR(SEARCH("On",R11)))</formula>
    </cfRule>
    <cfRule type="containsText" dxfId="18" priority="7" operator="containsText" text="Over">
      <formula>NOT(ISERROR(SEARCH("Over",R11)))</formula>
    </cfRule>
    <cfRule type="containsText" dxfId="17" priority="8" operator="containsText" text="Under">
      <formula>NOT(ISERROR(SEARCH("Under",R11)))</formula>
    </cfRule>
    <cfRule type="containsText" priority="9" operator="containsText" text="Under">
      <formula>NOT(ISERROR(SEARCH("Under",R11)))</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99AD8AF-759D-40A4-8A4C-960CA7576ADF}">
            <x14:dataBar minLength="0" maxLength="100" gradient="0">
              <x14:cfvo type="autoMin"/>
              <x14:cfvo type="autoMax"/>
              <x14:negativeFillColor rgb="FFFF0000"/>
              <x14:axisColor rgb="FF000000"/>
            </x14:dataBar>
          </x14:cfRule>
          <xm:sqref>D194:D205</xm:sqref>
        </x14:conditionalFormatting>
      </x14:conditionalFormatting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Financial_Data</vt:lpstr>
      <vt:lpstr>Budget_master</vt:lpstr>
      <vt:lpstr>Pivot_Table</vt:lpstr>
      <vt:lpstr>FB_Dashboard</vt:lpstr>
      <vt:lpstr>Finance_Data</vt:lpstr>
      <vt:lpstr>tbl_budget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Kirti Rachna</dc:creator>
  <cp:lastModifiedBy>Kirti Rachna</cp:lastModifiedBy>
  <dcterms:created xsi:type="dcterms:W3CDTF">2026-03-19T16:09:54Z</dcterms:created>
  <dcterms:modified xsi:type="dcterms:W3CDTF">2026-03-27T06:08:29Z</dcterms:modified>
</cp:coreProperties>
</file>